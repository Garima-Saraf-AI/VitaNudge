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ee60a1604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954808c751fb4208"/>
    <x:sheet xmlns:r="http://schemas.openxmlformats.org/officeDocument/2006/relationships" name="testcases" sheetId="2" r:id="Rac331e4710504ef9"/>
    <x:sheet xmlns:r="http://schemas.openxmlformats.org/officeDocument/2006/relationships" name="11-Jun-2026" sheetId="3" r:id="R3063086fde0744f3"/>
    <x:sheet xmlns:r="http://schemas.openxmlformats.org/officeDocument/2006/relationships" name="testing_12June" sheetId="4" r:id="R9e932b48698d4c1f"/>
  </x:sheets>
</x:workbook>
</file>

<file path=xl/sharedStrings.xml><?xml version="1.0" encoding="utf-8"?>
<x:sst xmlns:x="http://schemas.openxmlformats.org/spreadsheetml/2006/main">
  <x:si>
    <x:t xml:space="preserve">Isue</x:t>
  </x:si>
  <x:si>
    <x:t xml:space="preserve">fail</x:t>
  </x:si>
  <x:si>
    <x:t xml:space="preserve">2. where is my edit goal functionality? i cannot see recommended goal to edit it. </x:t>
  </x:si>
  <x:si>
    <x:t xml:space="preserve">pass</x:t>
  </x:si>
  <x:si>
    <x:t xml:space="preserve">3.copy yesterday meal is dashboard  copying to same meal of lunch to lunch what if i had in dinner yesterday lunch one. </x:t>
  </x:si>
  <x:si>
    <x:t xml:space="preserve">4. on todays dashboard i cannot see the coach option and query should be passed automatically whta user choose as its goal</x:t>
  </x:si>
  <x:si>
    <x:t xml:space="preserve">5. barcode- first time any food ,there is no edit button, and once its saved, and then again search with same barcode..the message - food is already in the library along woth the Saved to library! message </x:t>
  </x:si>
  <x:si>
    <x:t xml:space="preserve">6. label scanner- edit is missing  .</x:t>
  </x:si>
  <x:si>
    <x:t xml:space="preserve">fail(Saved to library!
Food name is required.)both are coming</x:t>
  </x:si>
  <x:si>
    <x:t xml:space="preserve">7. food library - when we do add food its taking us to scan plate? it should go to add food instaed of scaning plate</x:t>
  </x:si>
  <x:si>
    <x:t xml:space="preserve">for save recipie- Upgrade to Pro. window appears down..currently its not clearly visible until user scrolls down</x:t>
  </x:si>
  <x:si>
    <x:t xml:space="preserve">still its down</x:t>
  </x:si>
  <x:si>
    <x:t xml:space="preserve">for first time user- after giving login credential,it displays error message then user go for create account button(this button should be slighhlty up..)</x:t>
  </x:si>
  <x:si>
    <x:t xml:space="preserve">when user create acc and login ,msg appears- ⚠️ Complete your profile (age, weight, height) for personalized recommendations. but in goal section,next button should be disabled..</x:t>
  </x:si>
  <x:si>
    <x:t xml:space="preserve">VitaNudge Bug Verification - 11 Jun 2026</x:t>
  </x:si>
  <x:si>
    <x:t xml:space="preserve">Environment: Production Render | Frontend: https://vitanudge.onrender.com | API: https://vitanudge-api.onrender.com | No application files changed during this verification.</x:t>
  </x:si>
  <x:si>
    <x:t xml:space="preserve">Bug ID</x:t>
  </x:si>
  <x:si>
    <x:t xml:space="preserve">Module</x:t>
  </x:si>
  <x:si>
    <x:t xml:space="preserve">Issue / Test</x:t>
  </x:si>
  <x:si>
    <x:t xml:space="preserve">Steps to reproduce</x:t>
  </x:si>
  <x:si>
    <x:t xml:space="preserve">Expected result</x:t>
  </x:si>
  <x:si>
    <x:t xml:space="preserve">Actual result</x:t>
  </x:si>
  <x:si>
    <x:t xml:space="preserve">QA result</x:t>
  </x:si>
  <x:si>
    <x:t xml:space="preserve">Bug status</x:t>
  </x:si>
  <x:si>
    <x:t xml:space="preserve">Severity</x:t>
  </x:si>
  <x:si>
    <x:t xml:space="preserve">Recommendation</x:t>
  </x:si>
  <x:si>
    <x:t xml:space="preserve">BUG-001</x:t>
  </x:si>
  <x:si>
    <x:t xml:space="preserve">Today / Profile</x:t>
  </x:si>
  <x:si>
    <x:t xml:space="preserve">Profile-completion notification is not visible after adding the first food.</x:t>
  </x:si>
  <x:si>
    <x:t xml:space="preserve">Use an incomplete profile &gt; Today &gt; add the first food.</x:t>
  </x:si>
  <x:si>
    <x:t xml:space="preserve">A centered profile reminder should appear above all page content.</x:t>
  </x:si>
  <x:si>
    <x:t xml:space="preserve">The overlay opens, but sticky header/summary layers cover the dialog.</x:t>
  </x:si>
  <x:si>
    <x:t xml:space="preserve">Fail</x:t>
  </x:si>
  <x:si>
    <x:t xml:space="preserve">Open</x:t>
  </x:si>
  <x:si>
    <x:t xml:space="preserve">High</x:t>
  </x:si>
  <x:si>
    <x:t xml:space="preserve">Raise the modal overlay above every sticky/header layer and verify desktop/mobile.</x:t>
  </x:si>
  <x:si>
    <x:t xml:space="preserve">BUG-002</x:t>
  </x:si>
  <x:si>
    <x:t xml:space="preserve">Goals</x:t>
  </x:si>
  <x:si>
    <x:t xml:space="preserve">User could not find the edit-goal functionality.</x:t>
  </x:si>
  <x:si>
    <x:t xml:space="preserve">Complete profile &gt; create and save a recommended goal &gt; return to Goals.</x:t>
  </x:si>
  <x:si>
    <x:t xml:space="preserve">A clear edit action should open saved targets for modification.</x:t>
  </x:si>
  <x:si>
    <x:t xml:space="preserve">Modify goal is visible and opens editable target fields.</x:t>
  </x:si>
  <x:si>
    <x:t xml:space="preserve">Pass</x:t>
  </x:si>
  <x:si>
    <x:t xml:space="preserve">Verified</x:t>
  </x:si>
  <x:si>
    <x:t xml:space="preserve">N/A</x:t>
  </x:si>
  <x:si>
    <x:t xml:space="preserve">No correction required; retain Modify goal regression coverage.</x:t>
  </x:si>
  <x:si>
    <x:t xml:space="preserve">BUG-003</x:t>
  </x:si>
  <x:si>
    <x:t xml:space="preserve">Today / Copy Yesterday</x:t>
  </x:si>
  <x:si>
    <x:t xml:space="preserve">Copied foods need a selectable destination meal instead of always using the source meal.</x:t>
  </x:si>
  <x:si>
    <x:t xml:space="preserve">Create a Dinner item yesterday &gt; Today &gt; Copy yesterday &gt; review the item.</x:t>
  </x:si>
  <x:si>
    <x:t xml:space="preserve">Each copied item should allow Breakfast, Lunch, Dinner, or Snack destination.</x:t>
  </x:si>
  <x:si>
    <x:t xml:space="preserve">Destination dropdown provided all four meals and accepted a changed destination.</x:t>
  </x:si>
  <x:si>
    <x:t xml:space="preserve">No correction required; retain per-item destination regression test.</x:t>
  </x:si>
  <x:si>
    <x:t xml:space="preserve">BUG-004</x:t>
  </x:si>
  <x:si>
    <x:t xml:space="preserve">Today / Coach</x:t>
  </x:si>
  <x:si>
    <x:t xml:space="preserve">Coach action and selected recommendation question should transfer from Today.</x:t>
  </x:si>
  <x:si>
    <x:t xml:space="preserve">Create a macro gap &gt; select Find options/Ask coach on Today.</x:t>
  </x:si>
  <x:si>
    <x:t xml:space="preserve">Coach should open with the relevant question prefilled.</x:t>
  </x:si>
  <x:si>
    <x:t xml:space="preserve">Coach opened and the protein-gap question was prefilled automatically.</x:t>
  </x:si>
  <x:si>
    <x:t xml:space="preserve">No correction required; keep testing each recommendation type.</x:t>
  </x:si>
  <x:si>
    <x:t xml:space="preserve">BUG-005</x:t>
  </x:si>
  <x:si>
    <x:t xml:space="preserve">Add Food / Barcode</x:t>
  </x:si>
  <x:si>
    <x:t xml:space="preserve">Barcode result has no Edit values action, and duplicate save shows success plus duplicate messages.</x:t>
  </x:si>
  <x:si>
    <x:t xml:space="preserve">Look up 3017620422003 &gt; inspect actions &gt; save &gt; look up and save it again.</x:t>
  </x:si>
  <x:si>
    <x:t xml:space="preserve">User can edit before save; duplicate attempt shows only the duplicate message.</x:t>
  </x:si>
  <x:si>
    <x:t xml:space="preserve">Only Save to library was available; duplicate attempt showed both Saved to library! and already-in-library messages.</x:t>
  </x:si>
  <x:si>
    <x:t xml:space="preserve">Add Edit values and clear all stale success/error messages before lookup/save.</x:t>
  </x:si>
  <x:si>
    <x:t xml:space="preserve">BUG-006</x:t>
  </x:si>
  <x:si>
    <x:t xml:space="preserve">Add Food / Label</x:t>
  </x:si>
  <x:si>
    <x:t xml:space="preserve">Label scan result has no Edit values action and can show conflicting validation/success states.</x:t>
  </x:si>
  <x:si>
    <x:t xml:space="preserve">Scan a nutrition label &gt; inspect extracted result &gt; save valid/invalid results sequentially.</x:t>
  </x:si>
  <x:si>
    <x:t xml:space="preserve">Extracted values are editable; only the current operation message is visible.</x:t>
  </x:si>
  <x:si>
    <x:t xml:space="preserve">Only Save to library was available; conflicting Saved to library and Food name is required states remain possible.</x:t>
  </x:si>
  <x:si>
    <x:t xml:space="preserve">Add reviewed edit flow and reset message state before every scan and save.</x:t>
  </x:si>
  <x:si>
    <x:t xml:space="preserve">BUG-007</x:t>
  </x:si>
  <x:si>
    <x:t xml:space="preserve">Food Library</x:t>
  </x:si>
  <x:si>
    <x:t xml:space="preserve">Library Add food previously opened Plate Scan.</x:t>
  </x:si>
  <x:si>
    <x:t xml:space="preserve">Open Tools &gt; Food Library &gt; select + Add food.</x:t>
  </x:si>
  <x:si>
    <x:t xml:space="preserve">The Add Food workspace should open.</x:t>
  </x:si>
  <x:si>
    <x:t xml:space="preserve">The app opened /add-food.</x:t>
  </x:si>
  <x:si>
    <x:t xml:space="preserve">No correction required; keep route test.</x:t>
  </x:si>
  <x:si>
    <x:t xml:space="preserve">BUG-008</x:t>
  </x:si>
  <x:si>
    <x:t xml:space="preserve">Recipes / Subscription</x:t>
  </x:si>
  <x:si>
    <x:t xml:space="preserve">Upgrade to Pro dialog is hidden below page chrome.</x:t>
  </x:si>
  <x:si>
    <x:t xml:space="preserve">Use Core account &gt; Recipes &gt; select Add to library on a suggested recipe.</x:t>
  </x:si>
  <x:si>
    <x:t xml:space="preserve">Upgrade dialog should be centered and fully visible immediately.</x:t>
  </x:si>
  <x:si>
    <x:t xml:space="preserve">Dark overlay appeared, but the dialog was covered by header/navigation layers.</x:t>
  </x:si>
  <x:si>
    <x:t xml:space="preserve">Use the same modal-layering correction as BUG-001 and remove scroll-to-top dependency.</x:t>
  </x:si>
  <x:si>
    <x:t xml:space="preserve">BUG-009</x:t>
  </x:si>
  <x:si>
    <x:t xml:space="preserve">Login / Registration</x:t>
  </x:si>
  <x:si>
    <x:t xml:space="preserve">First-time user needs visible account-creation access after an unsuccessful login.</x:t>
  </x:si>
  <x:si>
    <x:t xml:space="preserve">On mobile Login, submit an unknown email/password and inspect the bottom action.</x:t>
  </x:si>
  <x:si>
    <x:t xml:space="preserve">Privacy-safe error appears and Create free account remains visible and tappable.</x:t>
  </x:si>
  <x:si>
    <x:t xml:space="preserve">Generic incorrect email/password message and Create free account were visible.</x:t>
  </x:si>
  <x:si>
    <x:t xml:space="preserve">Keep the generic message to avoid account enumeration.</x:t>
  </x:si>
  <x:si>
    <x:t xml:space="preserve">BUG-010</x:t>
  </x:si>
  <x:si>
    <x:t xml:space="preserve">Goals / Onboarding</x:t>
  </x:si>
  <x:si>
    <x:t xml:space="preserve">Incomplete-profile Goals flow disables Next but provides no direct Profile action.</x:t>
  </x:si>
  <x:si>
    <x:t xml:space="preserve">Create account without age/weight/height &gt; open Goals &gt; move to Stats.</x:t>
  </x:si>
  <x:si>
    <x:t xml:space="preserve">Next is disabled and a clear Complete profile button opens Profile.</x:t>
  </x:si>
  <x:si>
    <x:t xml:space="preserve">Next was disabled, but text referenced a form below that was not present and no Profile action was provided.</x:t>
  </x:si>
  <x:si>
    <x:t xml:space="preserve">Medium</x:t>
  </x:si>
  <x:si>
    <x:t xml:space="preserve">Replace the incorrect form instruction with a visible Complete profile button.</x:t>
  </x:si>
</x:sst>
</file>

<file path=xl/styles.xml><?xml version="1.0" encoding="utf-8"?>
<x:styleSheet xmlns:x="http://schemas.openxmlformats.org/spreadsheetml/2006/main">
  <x:fonts count="31">
    <x:font>
      <x:sz val="12"/>
      <x:color theme="1"/>
      <x:name val="Aptos Narrow"/>
    </x:font>
    <x:font>
      <x:sz val="14"/>
      <x:color rgb="FF0A0A0A"/>
      <x:name val="Helvetica"/>
    </x:font>
    <x:font>
      <x:sz val="13"/>
      <x:color rgb="FF0A0A0A"/>
      <x:name val="Helvetica"/>
    </x:font>
    <x:font>
      <x:b/>
      <x:sz val="16"/>
      <x:color rgb="FFFFFFFF"/>
      <x:name val="Aptos Narrow"/>
    </x:font>
    <x:font>
      <x:b/>
      <x:sz val="12"/>
      <x:color rgb="FF1F3B4D"/>
      <x:name val="Aptos Narrow"/>
    </x:font>
    <x:font>
      <x:sz val="10"/>
      <x:color rgb="FF1F2922"/>
      <x:name val="Aptos Narrow"/>
    </x:font>
    <x:font>
      <x:b/>
      <x:sz val="10"/>
      <x:color rgb="FF1F5D31"/>
      <x:name val="Aptos Narrow"/>
    </x:font>
    <x:font>
      <x:i/>
      <x:sz val="10"/>
      <x:color rgb="FF1F5D31"/>
      <x:name val="Aptos Narrow"/>
    </x:font>
    <x:font>
      <x:b/>
      <x:sz val="18"/>
      <x:color rgb="FFFFFFFF"/>
      <x:name val="Aptos Narrow"/>
    </x:font>
    <x:font>
      <x:sz val="18"/>
      <x:color theme="1"/>
      <x:name val="Aptos Narrow"/>
    </x:font>
    <x:font>
      <x:b/>
      <x:sz val="18"/>
      <x:color rgb="FF1F3B4D"/>
      <x:name val="Aptos Narrow"/>
    </x:font>
    <x:font>
      <x:b/>
      <x:sz val="18"/>
      <x:color rgb="FF1F5D31"/>
      <x:name val="Aptos Narrow"/>
    </x:font>
    <x:font>
      <x:sz val="18"/>
      <x:color rgb="FF1F2922"/>
      <x:name val="Aptos Narrow"/>
    </x:font>
    <x:font>
      <x:i/>
      <x:sz val="12"/>
      <x:color rgb="FF244A38"/>
      <x:name val="Aptos Narrow"/>
    </x:font>
    <x:font>
      <x:b/>
      <x:sz val="12"/>
      <x:color rgb="FF365A48"/>
      <x:name val="Aptos Narrow"/>
    </x:font>
    <x:font>
      <x:b/>
      <x:sz val="13"/>
      <x:color rgb="FF111827"/>
      <x:name val="Aptos Narrow"/>
    </x:font>
    <x:font>
      <x:b/>
      <x:sz val="12"/>
      <x:color rgb="FFFFFFFF"/>
      <x:name val="Aptos Narrow"/>
    </x:font>
    <x:font>
      <x:b/>
      <x:sz val="18"/>
      <x:color rgb="FF166534"/>
      <x:name val="Aptos Narrow"/>
    </x:font>
    <x:font>
      <x:b/>
      <x:sz val="18"/>
      <x:color rgb="FF374151"/>
      <x:name val="Aptos Narrow"/>
    </x:font>
    <x:font>
      <x:b/>
      <x:sz val="18"/>
      <x:color rgb="FF92400E"/>
      <x:name val="Aptos Narrow"/>
    </x:font>
    <x:font>
      <x:b/>
      <x:sz val="18"/>
      <x:color rgb="FF991B1B"/>
      <x:name val="Aptos Narrow"/>
    </x:font>
    <x:font>
      <x:b/>
      <x:sz val="18"/>
      <x:color rgb="FF9A3412"/>
      <x:name val="Aptos Narrow"/>
    </x:font>
    <x:font>
      <x:b/>
      <x:sz val="10"/>
      <x:color rgb="FF991B1B"/>
      <x:name val="Aptos Narrow"/>
    </x:font>
    <x:font>
      <x:b/>
      <x:sz val="10"/>
      <x:color rgb="FF166534"/>
      <x:name val="Aptos Narrow"/>
    </x:font>
    <x:font>
      <x:b/>
      <x:sz val="10"/>
      <x:color rgb="FF92400E"/>
      <x:name val="Aptos Narrow"/>
    </x:font>
    <x:font>
      <x:b/>
      <x:sz val="10"/>
      <x:color rgb="FF1D4ED8"/>
      <x:name val="Aptos Narrow"/>
    </x:font>
    <x:font>
      <x:b/>
      <x:sz val="12"/>
      <x:color rgb="FF166534"/>
      <x:name val="Aptos Narrow"/>
    </x:font>
    <x:font>
      <x:b/>
      <x:sz val="12"/>
      <x:color rgb="FF374151"/>
      <x:name val="Aptos Narrow"/>
    </x:font>
    <x:font>
      <x:b/>
      <x:sz val="12"/>
      <x:color rgb="FF92400E"/>
      <x:name val="Aptos Narrow"/>
    </x:font>
    <x:font>
      <x:b/>
      <x:sz val="12"/>
      <x:color rgb="FF991B1B"/>
      <x:name val="Aptos Narrow"/>
    </x:font>
    <x:font>
      <x:b/>
      <x:sz val="12"/>
      <x:color rgb="FF9A3412"/>
      <x:name val="Aptos Narrow"/>
    </x:font>
  </x:fonts>
  <x:fills count="32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1F5D31"/>
      </x:patternFill>
    </x:fill>
    <x:fill>
      <x:patternFill patternType="solid">
        <x:fgColor rgb="FFD9E8F5"/>
      </x:patternFill>
    </x:fill>
    <x:fill>
      <x:patternFill patternType="solid">
        <x:fgColor rgb="FFFAFCFA"/>
      </x:patternFill>
    </x:fill>
    <x:fill>
      <x:patternFill patternType="solid">
        <x:fgColor rgb="FFEAF4EC"/>
      </x:patternFill>
    </x:fill>
    <x:fill>
      <x:patternFill patternType="solid">
        <x:fgColor rgb="FF166534"/>
      </x:patternFill>
    </x:fill>
    <x:fill>
      <x:patternFill patternType="solid">
        <x:fgColor rgb="FF163A2B"/>
      </x:patternFill>
    </x:fill>
    <x:fill>
      <x:patternFill patternType="solid">
        <x:fgColor rgb="FFE8F1EC"/>
      </x:patternFill>
    </x:fill>
    <x:fill>
      <x:patternFill patternType="solid">
        <x:fgColor rgb="FFF4F7F5"/>
      </x:patternFill>
    </x:fill>
    <x:fill>
      <x:patternFill patternType="solid">
        <x:fgColor rgb="FF2F6B4F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EDD5"/>
      </x:patternFill>
    </x:fill>
  </x:fills>
  <x:borders count="17">
    <x:border/>
    <x:border>
      <x:left style="thin">
        <x:color rgb="FFCAD6CC"/>
      </x:left>
      <x:right style="thin">
        <x:color rgb="FFCAD6CC"/>
      </x:right>
      <x:top style="thin">
        <x:color rgb="FFCAD6CC"/>
      </x:top>
      <x:bottom style="thin">
        <x:color rgb="FFCAD6CC"/>
      </x:bottom>
    </x:border>
    <x:border>
      <x:left style="thin">
        <x:color rgb="FFD9E2DB"/>
      </x:left>
      <x:right style="thin">
        <x:color rgb="FFD9E2DB"/>
      </x:right>
      <x:top style="thin">
        <x:color rgb="FFD9E2DB"/>
      </x:top>
      <x:bottom style="thin">
        <x:color rgb="FFD9E2DB"/>
      </x:bottom>
    </x:border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0" fillId="2" borderId="0" xfId="0" applyFill="1" applyAlignment="1">
      <x:alignment wrapText="1"/>
    </x:xf>
    <x:xf numFmtId="0" fontId="5" fillId="5" borderId="2" xfId="0" applyFont="1" applyFill="1" applyBorder="1" applyAlignment="1">
      <x:alignment vertical="top" wrapText="1"/>
    </x:xf>
    <x:xf numFmtId="0" fontId="6" fillId="5" borderId="2" xfId="0" applyFont="1" applyFill="1" applyBorder="1" applyAlignment="1">
      <x:alignment vertical="top" wrapText="1"/>
    </x:xf>
    <x:xf numFmtId="0" fontId="5" fillId="5" borderId="2" xfId="0" applyFont="1" applyFill="1" applyBorder="1" applyAlignment="1">
      <x:alignment horizontal="center" vertical="top" wrapText="1"/>
    </x:xf>
    <x:xf numFmtId="0" fontId="4" fillId="4" borderId="1" xfId="0" applyFont="1" applyFill="1" applyBorder="1" applyAlignment="1">
      <x:alignment vertical="center" wrapText="1"/>
    </x:xf>
    <x:xf numFmtId="0" fontId="3" fillId="3" borderId="0" xfId="0" applyFont="1" applyFill="1" applyAlignment="1">
      <x:alignment horizontal="center" vertical="center"/>
    </x:xf>
    <x:xf numFmtId="0" fontId="7" fillId="6" borderId="0" xfId="0" applyFont="1" applyFill="1" applyAlignment="1">
      <x:alignment vertical="center" wrapText="1"/>
    </x:xf>
    <x:xf numFmtId="0" fontId="8" fillId="3" borderId="0" xfId="0" applyFont="1" applyFill="1" applyAlignment="1">
      <x:alignment horizontal="center" vertical="center"/>
    </x:xf>
    <x:xf numFmtId="0" fontId="9" fillId="0" borderId="0" xfId="0" applyFont="1"/>
    <x:xf numFmtId="0" fontId="10" fillId="4" borderId="1" xfId="0" applyFont="1" applyFill="1" applyBorder="1" applyAlignment="1">
      <x:alignment vertical="center"/>
    </x:xf>
    <x:xf numFmtId="0" fontId="11" fillId="5" borderId="2" xfId="0" applyFont="1" applyFill="1" applyBorder="1" applyAlignment="1">
      <x:alignment vertical="top" wrapText="1"/>
    </x:xf>
    <x:xf numFmtId="0" fontId="12" fillId="5" borderId="2" xfId="0" applyFont="1" applyFill="1" applyBorder="1" applyAlignment="1">
      <x:alignment vertical="top" wrapText="1"/>
    </x:xf>
    <x:xf numFmtId="0" fontId="12" fillId="5" borderId="2" xfId="0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8" xfId="0" applyNumberFormat="1" applyFont="1" applyFill="1" applyBorder="1"/>
    <x:xf numFmtId="0" fontId="14" fillId="10" borderId="3" xfId="0" applyNumberFormat="1" applyFont="1" applyFill="1" applyBorder="1"/>
    <x:xf numFmtId="0" fontId="14" fillId="10" borderId="4" xfId="0" applyNumberFormat="1" applyFont="1" applyFill="1" applyBorder="1"/>
    <x:xf numFmtId="0" fontId="14" fillId="10" borderId="6" xfId="0" applyNumberFormat="1" applyFont="1" applyFill="1" applyBorder="1"/>
    <x:xf numFmtId="0" fontId="14" fillId="10" borderId="7" xfId="0" applyNumberFormat="1" applyFont="1" applyFill="1" applyBorder="1"/>
    <x:xf numFmtId="0" fontId="15" fillId="10" borderId="4" xfId="0" applyNumberFormat="1" applyFont="1" applyFill="1" applyBorder="1"/>
    <x:xf numFmtId="0" fontId="15" fillId="10" borderId="4" xfId="0" applyNumberFormat="1" applyFont="1" applyFill="1" applyBorder="1" applyAlignment="1">
      <x:alignment horizontal="center"/>
    </x:xf>
    <x:xf numFmtId="0" fontId="15" fillId="10" borderId="5" xfId="0" applyNumberFormat="1" applyFont="1" applyFill="1" applyBorder="1"/>
    <x:xf numFmtId="0" fontId="15" fillId="10" borderId="5" xfId="0" applyNumberFormat="1" applyFont="1" applyFill="1" applyBorder="1" applyAlignment="1">
      <x:alignment horizontal="center"/>
    </x:xf>
    <x:xf numFmtId="0" fontId="15" fillId="10" borderId="7" xfId="0" applyNumberFormat="1" applyFont="1" applyFill="1" applyBorder="1"/>
    <x:xf numFmtId="0" fontId="15" fillId="10" borderId="7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12" fillId="12" borderId="2" xfId="0" applyNumberFormat="1" applyFont="1" applyFill="1" applyBorder="1" applyAlignment="1">
      <x:alignment horizontal="center" vertical="top" wrapText="1"/>
    </x:xf>
    <x:xf numFmtId="0" fontId="17" fillId="12" borderId="2" xfId="0" applyNumberFormat="1" applyFont="1" applyFill="1" applyBorder="1" applyAlignment="1">
      <x:alignment horizontal="center" vertical="top" wrapText="1"/>
    </x:xf>
    <x:xf numFmtId="0" fontId="17" fillId="12" borderId="2" xfId="0" applyNumberFormat="1" applyFont="1" applyFill="1" applyBorder="1" applyAlignment="1">
      <x:alignment horizontal="center" vertical="center" wrapText="1"/>
    </x:xf>
    <x:xf numFmtId="0" fontId="12" fillId="13" borderId="2" xfId="0" applyNumberFormat="1" applyFont="1" applyFill="1" applyBorder="1" applyAlignment="1">
      <x:alignment horizontal="center" vertical="top" wrapText="1"/>
    </x:xf>
    <x:xf numFmtId="0" fontId="18" fillId="13" borderId="2" xfId="0" applyNumberFormat="1" applyFont="1" applyFill="1" applyBorder="1" applyAlignment="1">
      <x:alignment horizontal="center" vertical="top" wrapText="1"/>
    </x:xf>
    <x:xf numFmtId="0" fontId="18" fillId="13" borderId="2" xfId="0" applyNumberFormat="1" applyFont="1" applyFill="1" applyBorder="1" applyAlignment="1">
      <x:alignment horizontal="center" vertical="center" wrapText="1"/>
    </x:xf>
    <x:xf numFmtId="0" fontId="12" fillId="14" borderId="2" xfId="0" applyNumberFormat="1" applyFont="1" applyFill="1" applyBorder="1" applyAlignment="1">
      <x:alignment horizontal="center" vertical="top" wrapText="1"/>
    </x:xf>
    <x:xf numFmtId="0" fontId="19" fillId="14" borderId="2" xfId="0" applyNumberFormat="1" applyFont="1" applyFill="1" applyBorder="1" applyAlignment="1">
      <x:alignment horizontal="center" vertical="top" wrapText="1"/>
    </x:xf>
    <x:xf numFmtId="0" fontId="19" fillId="14" borderId="2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top" wrapText="1"/>
    </x:xf>
    <x:xf numFmtId="0" fontId="20" fillId="15" borderId="2" xfId="0" applyNumberFormat="1" applyFont="1" applyFill="1" applyBorder="1" applyAlignment="1">
      <x:alignment horizontal="center" vertical="top" wrapText="1"/>
    </x:xf>
    <x:xf numFmtId="0" fontId="20" fillId="15" borderId="2" xfId="0" applyNumberFormat="1" applyFont="1" applyFill="1" applyBorder="1" applyAlignment="1">
      <x:alignment horizontal="center" vertical="center" wrapText="1"/>
    </x:xf>
    <x:xf numFmtId="0" fontId="12" fillId="16" borderId="2" xfId="0" applyNumberFormat="1" applyFont="1" applyFill="1" applyBorder="1" applyAlignment="1">
      <x:alignment horizontal="center" vertical="top" wrapText="1"/>
    </x:xf>
    <x:xf numFmtId="0" fontId="21" fillId="16" borderId="2" xfId="0" applyNumberFormat="1" applyFont="1" applyFill="1" applyBorder="1" applyAlignment="1">
      <x:alignment horizontal="center" vertical="top" wrapText="1"/>
    </x:xf>
    <x:xf numFmtId="0" fontId="21" fillId="16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top" wrapText="1"/>
    </x:xf>
    <x:xf numFmtId="0" fontId="22" fillId="15" borderId="2" xfId="0" applyNumberFormat="1" applyFont="1" applyFill="1" applyBorder="1" applyAlignment="1">
      <x:alignment horizontal="center" vertical="top" wrapText="1"/>
    </x:xf>
    <x:xf numFmtId="0" fontId="22" fillId="15" borderId="2" xfId="0" applyNumberFormat="1" applyFont="1" applyFill="1" applyBorder="1" applyAlignment="1">
      <x:alignment horizontal="center" vertical="center" wrapText="1"/>
    </x:xf>
    <x:xf numFmtId="0" fontId="5" fillId="12" borderId="2" xfId="0" applyNumberFormat="1" applyFont="1" applyFill="1" applyBorder="1" applyAlignment="1">
      <x:alignment horizontal="center" vertical="top" wrapText="1"/>
    </x:xf>
    <x:xf numFmtId="0" fontId="23" fillId="12" borderId="2" xfId="0" applyNumberFormat="1" applyFont="1" applyFill="1" applyBorder="1" applyAlignment="1">
      <x:alignment horizontal="center" vertical="top" wrapText="1"/>
    </x:xf>
    <x:xf numFmtId="0" fontId="23" fillId="12" borderId="2" xfId="0" applyNumberFormat="1" applyFont="1" applyFill="1" applyBorder="1" applyAlignment="1">
      <x:alignment horizontal="center" vertical="center" wrapText="1"/>
    </x:xf>
    <x:xf numFmtId="0" fontId="5" fillId="14" borderId="2" xfId="0" applyNumberFormat="1" applyFont="1" applyFill="1" applyBorder="1" applyAlignment="1">
      <x:alignment horizontal="center" vertical="top" wrapText="1"/>
    </x:xf>
    <x:xf numFmtId="0" fontId="24" fillId="14" borderId="2" xfId="0" applyNumberFormat="1" applyFont="1" applyFill="1" applyBorder="1" applyAlignment="1">
      <x:alignment horizontal="center" vertical="top" wrapText="1"/>
    </x:xf>
    <x:xf numFmtId="0" fontId="24" fillId="14" borderId="2" xfId="0" applyNumberFormat="1" applyFont="1" applyFill="1" applyBorder="1" applyAlignment="1">
      <x:alignment horizontal="center" vertical="center" wrapText="1"/>
    </x:xf>
    <x:xf numFmtId="0" fontId="5" fillId="17" borderId="2" xfId="0" applyNumberFormat="1" applyFont="1" applyFill="1" applyBorder="1" applyAlignment="1">
      <x:alignment horizontal="center" vertical="top" wrapText="1"/>
    </x:xf>
    <x:xf numFmtId="0" fontId="25" fillId="17" borderId="2" xfId="0" applyNumberFormat="1" applyFont="1" applyFill="1" applyBorder="1" applyAlignment="1">
      <x:alignment horizontal="center" vertical="top" wrapText="1"/>
    </x:xf>
    <x:xf numFmtId="0" fontId="25" fillId="17" borderId="2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horizontal="center" vertical="top" wrapText="1"/>
    </x:xf>
    <x:xf numFmtId="0" fontId="26" fillId="12" borderId="4" xfId="0" applyNumberFormat="1" applyFont="1" applyFill="1" applyBorder="1" applyAlignment="1">
      <x:alignment horizontal="center" vertical="top" wrapText="1"/>
    </x:xf>
    <x:xf numFmtId="0" fontId="26" fillId="12" borderId="4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horizontal="center" vertical="top" wrapText="1"/>
    </x:xf>
    <x:xf numFmtId="0" fontId="27" fillId="13" xfId="0" applyNumberFormat="1" applyFont="1" applyFill="1" applyBorder="0" applyAlignment="1">
      <x:alignment horizontal="center" vertical="top" wrapText="1"/>
    </x:xf>
    <x:xf numFmtId="0" fontId="27" fillId="13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horizontal="center" vertical="top" wrapText="1"/>
    </x:xf>
    <x:xf numFmtId="0" fontId="28" fillId="14" xfId="0" applyNumberFormat="1" applyFont="1" applyFill="1" applyBorder="0" applyAlignment="1">
      <x:alignment horizontal="center" vertical="top" wrapText="1"/>
    </x:xf>
    <x:xf numFmtId="0" fontId="28" fillId="14" xfId="0" applyNumberFormat="1" applyFont="1" applyFill="1" applyBorder="0" applyAlignment="1">
      <x:alignment horizontal="center" vertical="center" wrapText="1"/>
    </x:xf>
    <x:xf numFmtId="0" fontId="0" fillId="12" xfId="0" applyNumberFormat="1" applyFont="1" applyFill="1" applyBorder="0" applyAlignment="1">
      <x:alignment horizontal="center" vertical="top" wrapText="1"/>
    </x:xf>
    <x:xf numFmtId="0" fontId="26" fillId="12" xfId="0" applyNumberFormat="1" applyFont="1" applyFill="1" applyBorder="0" applyAlignment="1">
      <x:alignment horizontal="center" vertical="top" wrapText="1"/>
    </x:xf>
    <x:xf numFmtId="0" fontId="26" fillId="12" xfId="0" applyNumberFormat="1" applyFont="1" applyFill="1" applyBorder="0" applyAlignment="1">
      <x:alignment horizontal="center" vertical="center" wrapText="1"/>
    </x:xf>
    <x:xf numFmtId="0" fontId="0" fillId="15" xfId="0" applyNumberFormat="1" applyFont="1" applyFill="1" applyBorder="0" applyAlignment="1">
      <x:alignment horizontal="center" vertical="top" wrapText="1"/>
    </x:xf>
    <x:xf numFmtId="0" fontId="29" fillId="15" xfId="0" applyNumberFormat="1" applyFont="1" applyFill="1" applyBorder="0" applyAlignment="1">
      <x:alignment horizontal="center" vertical="top" wrapText="1"/>
    </x:xf>
    <x:xf numFmtId="0" fontId="29" fillId="15" xfId="0" applyNumberFormat="1" applyFont="1" applyFill="1" applyBorder="0" applyAlignment="1">
      <x:alignment horizontal="center" vertical="center" wrapText="1"/>
    </x:xf>
    <x:xf numFmtId="0" fontId="0" fillId="16" xfId="0" applyNumberFormat="1" applyFont="1" applyFill="1" applyBorder="0" applyAlignment="1">
      <x:alignment horizontal="center" vertical="top" wrapText="1"/>
    </x:xf>
    <x:xf numFmtId="0" fontId="30" fillId="16" xfId="0" applyNumberFormat="1" applyFont="1" applyFill="1" applyBorder="0" applyAlignment="1">
      <x:alignment horizontal="center" vertical="top" wrapText="1"/>
    </x:xf>
    <x:xf numFmtId="0" fontId="30" fillId="16" xfId="0" applyNumberFormat="1" applyFont="1" applyFill="1" applyBorder="0" applyAlignment="1">
      <x:alignment horizontal="center" vertical="center" wrapText="1"/>
    </x:xf>
    <x:xf numFmtId="0" fontId="0" fillId="14" borderId="7" xfId="0" applyNumberFormat="1" applyFont="1" applyFill="1" applyBorder="1" applyAlignment="1">
      <x:alignment horizontal="center" vertical="top" wrapText="1"/>
    </x:xf>
    <x:xf numFmtId="0" fontId="28" fillId="14" borderId="7" xfId="0" applyNumberFormat="1" applyFont="1" applyFill="1" applyBorder="1" applyAlignment="1">
      <x:alignment horizontal="center" vertical="top" wrapText="1"/>
    </x:xf>
    <x:xf numFmtId="0" fontId="28" fillId="14" borderId="7" xfId="0" applyNumberFormat="1" applyFont="1" applyFill="1" applyBorder="1" applyAlignment="1">
      <x:alignment horizontal="center" vertical="center" wrapText="1"/>
    </x:xf>
    <x:xf numFmtId="0" fontId="26" fillId="18" borderId="0" xfId="0" applyNumberFormat="1" applyFont="1" applyFill="1" applyBorder="1" applyAlignment="1">
      <x:alignment horizontal="center" vertical="center" wrapText="1"/>
    </x:xf>
    <x:xf numFmtId="0" fontId="27" fillId="18" xfId="0" applyNumberFormat="1" applyFont="1" applyFill="1" applyBorder="0" applyAlignment="1">
      <x:alignment horizontal="center"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0" fontId="28" fillId="19" xfId="0" applyNumberFormat="1" applyFont="1" applyFill="1" applyBorder="0" applyAlignment="1">
      <x:alignment horizontal="center" vertical="center" wrapText="1"/>
    </x:xf>
    <x:xf numFmtId="0" fontId="29" fillId="20" xfId="0" applyNumberFormat="1" applyFont="1" applyFill="1" applyBorder="0" applyAlignment="1">
      <x:alignment horizontal="center" vertical="center" wrapText="1"/>
    </x:xf>
    <x:xf numFmtId="0" fontId="27" fillId="20" xfId="0" applyNumberFormat="1" applyFont="1" applyFill="1" applyBorder="0" applyAlignment="1">
      <x:alignment horizontal="center"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30" fillId="21" xfId="0" applyNumberFormat="1" applyFont="1" applyFill="1" applyBorder="0" applyAlignment="1">
      <x:alignment horizontal="center" vertical="center" wrapText="1"/>
    </x:xf>
    <x:xf numFmtId="0" fontId="29" fillId="18" xfId="0" applyNumberFormat="1" applyFont="1" applyFill="1" applyBorder="0" applyAlignment="1">
      <x:alignment horizontal="center" vertical="center" wrapText="1"/>
    </x:xf>
    <x:xf numFmtId="0" fontId="28" fillId="19" borderId="0" xfId="0" applyNumberFormat="1" applyFont="1" applyFill="1" applyBorder="1" applyAlignment="1">
      <x:alignment horizontal="center" vertical="center" wrapText="1"/>
    </x:xf>
    <x:xf numFmtId="0" fontId="17" fillId="22" borderId="2" xfId="0" applyNumberFormat="1" applyFont="1" applyFill="1" applyBorder="1" applyAlignment="1">
      <x:alignment horizontal="center" vertical="center" wrapText="1"/>
    </x:xf>
    <x:xf numFmtId="0" fontId="18" fillId="23" borderId="2" xfId="0" applyNumberFormat="1" applyFont="1" applyFill="1" applyBorder="1" applyAlignment="1">
      <x:alignment horizontal="center" vertical="center" wrapText="1"/>
    </x:xf>
    <x:xf numFmtId="0" fontId="19" fillId="24" borderId="2" xfId="0" applyNumberFormat="1" applyFont="1" applyFill="1" applyBorder="1" applyAlignment="1">
      <x:alignment horizontal="center" vertical="center" wrapText="1"/>
    </x:xf>
    <x:xf numFmtId="0" fontId="20" fillId="25" borderId="2" xfId="0" applyNumberFormat="1" applyFont="1" applyFill="1" applyBorder="1" applyAlignment="1">
      <x:alignment horizontal="center" vertical="center" wrapText="1"/>
    </x:xf>
    <x:xf numFmtId="0" fontId="21" fillId="26" borderId="2" xfId="0" applyNumberFormat="1" applyFont="1" applyFill="1" applyBorder="1" applyAlignment="1">
      <x:alignment horizontal="center" vertical="center" wrapText="1"/>
    </x:xf>
    <x:xf numFmtId="0" fontId="22" fillId="25" borderId="2" xfId="0" applyNumberFormat="1" applyFont="1" applyFill="1" applyBorder="1" applyAlignment="1">
      <x:alignment horizontal="center" vertical="center" wrapText="1"/>
    </x:xf>
    <x:xf numFmtId="0" fontId="23" fillId="22" borderId="2" xfId="0" applyNumberFormat="1" applyFont="1" applyFill="1" applyBorder="1" applyAlignment="1">
      <x:alignment horizontal="center" vertical="center" wrapText="1"/>
    </x:xf>
    <x:xf numFmtId="0" fontId="24" fillId="24" borderId="2" xfId="0" applyNumberFormat="1" applyFont="1" applyFill="1" applyBorder="1" applyAlignment="1">
      <x:alignment horizontal="center" vertical="center" wrapText="1"/>
    </x:xf>
    <x:xf numFmtId="0" fontId="25" fillId="27" borderId="2" xfId="0" applyNumberFormat="1" applyFont="1" applyFill="1" applyBorder="1" applyAlignment="1">
      <x:alignment horizontal="center" vertical="center" wrapText="1"/>
    </x:xf>
    <x:xf numFmtId="0" fontId="26" fillId="22" borderId="0" xfId="0" applyNumberFormat="1" applyFont="1" applyFill="1" applyBorder="1" applyAlignment="1">
      <x:alignment horizontal="center" vertical="center" wrapText="1"/>
    </x:xf>
    <x:xf numFmtId="0" fontId="26" fillId="22" xfId="0" applyNumberFormat="1" applyFont="1" applyFill="1" applyBorder="0" applyAlignment="1">
      <x:alignment horizontal="center" vertical="center" wrapText="1"/>
    </x:xf>
    <x:xf numFmtId="0" fontId="28" fillId="24" xfId="0" applyNumberFormat="1" applyFont="1" applyFill="1" applyBorder="0" applyAlignment="1">
      <x:alignment horizontal="center" vertical="center" wrapText="1"/>
    </x:xf>
    <x:xf numFmtId="0" fontId="29" fillId="25" xfId="0" applyNumberFormat="1" applyFont="1" applyFill="1" applyBorder="0" applyAlignment="1">
      <x:alignment horizontal="center" vertical="center" wrapText="1"/>
    </x:xf>
    <x:xf numFmtId="0" fontId="30" fillId="26" xfId="0" applyNumberFormat="1" applyFont="1" applyFill="1" applyBorder="0" applyAlignment="1">
      <x:alignment horizontal="center" vertical="center" wrapText="1"/>
    </x:xf>
    <x:xf numFmtId="0" fontId="28" fillId="24" borderId="0" xfId="0" applyNumberFormat="1" applyFont="1" applyFill="1" applyBorder="1" applyAlignment="1">
      <x:alignment horizontal="center" vertical="center" wrapText="1"/>
    </x:xf>
    <x:xf numFmtId="0" fontId="26" fillId="28" borderId="0" xfId="0" applyNumberFormat="1" applyFont="1" applyFill="1" applyBorder="1" applyAlignment="1">
      <x:alignment horizontal="center" vertical="center" wrapText="1"/>
    </x:xf>
    <x:xf numFmtId="0" fontId="26" fillId="28" xfId="0" applyNumberFormat="1" applyFont="1" applyFill="1" applyBorder="0" applyAlignment="1">
      <x:alignment horizontal="center" vertical="center" wrapText="1"/>
    </x:xf>
    <x:xf numFmtId="0" fontId="28" fillId="29" xfId="0" applyNumberFormat="1" applyFont="1" applyFill="1" applyBorder="0" applyAlignment="1">
      <x:alignment horizontal="center" vertical="center" wrapText="1"/>
    </x:xf>
    <x:xf numFmtId="0" fontId="29" fillId="30" xfId="0" applyNumberFormat="1" applyFont="1" applyFill="1" applyBorder="0" applyAlignment="1">
      <x:alignment horizontal="center" vertical="center" wrapText="1"/>
    </x:xf>
    <x:xf numFmtId="0" fontId="30" fillId="31" xfId="0" applyNumberFormat="1" applyFont="1" applyFill="1" applyBorder="0" applyAlignment="1">
      <x:alignment horizontal="center" vertical="center" wrapText="1"/>
    </x:xf>
    <x:xf numFmtId="0" fontId="28" fillId="2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4"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  <x:dxf>
      <x:font>
        <x:b/>
        <x:color rgb="FF9A6700"/>
      </x:font>
      <x:fill>
        <x:patternFill>
          <x:bgColor rgb="FFFFF4CE"/>
        </x:patternFill>
      </x:fill>
    </x:dxf>
    <x:dxf>
      <x:font>
        <x:color rgb="FF667085"/>
      </x:font>
      <x:fill>
        <x:patternFill>
          <x:bgColor rgb="FFF2F4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3b218bbb446d4" /><Relationship Type="http://schemas.openxmlformats.org/officeDocument/2006/relationships/theme" Target="/xl/theme/theme1.xml" Id="R7470eb6ac4714e8c" /><Relationship Type="http://schemas.openxmlformats.org/officeDocument/2006/relationships/sharedStrings" Target="/xl/sharedStrings.xml" Id="R30f3649c680d4770" /><Relationship Type="http://schemas.openxmlformats.org/officeDocument/2006/relationships/worksheet" Target="/xl/worksheets/sheet1.xml" Id="R954808c751fb4208" /><Relationship Type="http://schemas.openxmlformats.org/officeDocument/2006/relationships/worksheet" Target="/xl/worksheets/sheet2.xml" Id="Rac331e4710504ef9" /><Relationship Type="http://schemas.openxmlformats.org/officeDocument/2006/relationships/worksheet" Target="/xl/worksheets/sheet3.xml" Id="R3063086fde0744f3" /><Relationship Type="http://schemas.openxmlformats.org/officeDocument/2006/relationships/worksheet" Target="/xl/worksheets/sheet4.xml" Id="R9e932b48698d4c1f" /></Relationships>
</file>

<file path=xl/tables/table1.xml><?xml version="1.0" encoding="utf-8"?>
<x:table xmlns:x="http://schemas.openxmlformats.org/spreadsheetml/2006/main" id="1" name="VitaNudgeRegressionTests" displayName="VitaNudgeRegressionTests" ref="A2:G237">
  <x:autoFilter ref="A2:G237"/>
  <x:tableColumns count="7">
    <x:tableColumn id="1" name="Functionality"/>
    <x:tableColumn id="2" name="Test cases"/>
    <x:tableColumn id="3" name="Actual result"/>
    <x:tableColumn id="4" name="Expected result"/>
    <x:tableColumn id="5" name="Status"/>
    <x:tableColumn id="6" name="Flow"/>
    <x:tableColumn id="7" name="Column1"/>
  </x:tableColumns>
  <x:tableStyleInfo name="TableStyleMedium2" showRowStripes="1"/>
</x:table>
</file>

<file path=xl/tables/table2.xml><?xml version="1.0" encoding="utf-8"?>
<x:table xmlns:x="http://schemas.openxmlformats.org/spreadsheetml/2006/main" id="2" name="BugVerification_20260611" displayName="BugVerification_20260611" ref="A4:J14">
  <x:autoFilter ref="A4:J14"/>
  <x:tableColumns count="10">
    <x:tableColumn id="1" name="Bug ID"/>
    <x:tableColumn id="2" name="Module"/>
    <x:tableColumn id="3" name="Issue / Test"/>
    <x:tableColumn id="4" name="Steps to reproduce"/>
    <x:tableColumn id="5" name="Expected result"/>
    <x:tableColumn id="6" name="Actual result"/>
    <x:tableColumn id="7" name="QA result"/>
    <x:tableColumn id="8" name="Bug status"/>
    <x:tableColumn id="9" name="Severity"/>
    <x:tableColumn id="10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29110a3688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89a4d24d0449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6"/>
  <x:cols>
    <x:col min="1" max="1" width="100" style="2" customWidth="1"/>
    <x:col min="2" max="2" width="18.83203125" customWidth="1"/>
  </x:cols>
  <x:sheetData>
    <x:row r="1" ht="19">
      <x:c r="A1" s="1" t="s">
        <x:v>0</x:v>
      </x:c>
      <x:c r="B1" s="4" t="s">
        <x:v>1</x:v>
      </x:c>
    </x:row>
    <x:row r="2">
      <x:c r="B2" s="2"/>
    </x:row>
    <x:row r="3" ht="17">
      <x:c r="A3" s="2" t="s">
        <x:v>2</x:v>
      </x:c>
      <x:c r="B3" s="2" t="s">
        <x:v>3</x:v>
      </x:c>
    </x:row>
    <x:row r="4">
      <x:c r="B4" s="2"/>
    </x:row>
    <x:row r="5" ht="17">
      <x:c r="A5" s="2" t="s">
        <x:v>4</x:v>
      </x:c>
      <x:c r="B5" s="2" t="s">
        <x:v>3</x:v>
      </x:c>
    </x:row>
    <x:row r="6">
      <x:c r="B6" s="2"/>
    </x:row>
    <x:row r="7" ht="34">
      <x:c r="A7" s="2" t="s">
        <x:v>5</x:v>
      </x:c>
      <x:c r="B7" s="2" t="s">
        <x:v>3</x:v>
      </x:c>
    </x:row>
    <x:row r="8">
      <x:c r="B8" s="2"/>
    </x:row>
    <x:row r="9" ht="57">
      <x:c r="A9" s="1" t="s">
        <x:v>6</x:v>
      </x:c>
      <x:c r="B9" s="4" t="s">
        <x:v>1</x:v>
      </x:c>
    </x:row>
    <x:row r="10">
      <x:c r="B10" s="2"/>
    </x:row>
    <x:row r="11" ht="68">
      <x:c r="A11" s="2" t="s">
        <x:v>7</x:v>
      </x:c>
      <x:c r="B11" s="4" t="s">
        <x:v>8</x:v>
      </x:c>
    </x:row>
    <x:row r="12">
      <x:c r="B12" s="2"/>
    </x:row>
    <x:row r="13">
      <x:c r="B13" s="2"/>
    </x:row>
    <x:row r="14" ht="17">
      <x:c r="A14" s="2" t="s">
        <x:v>9</x:v>
      </x:c>
      <x:c r="B14" s="2" t="s">
        <x:v>3</x:v>
      </x:c>
    </x:row>
    <x:row r="15">
      <x:c r="B15" s="2"/>
    </x:row>
    <x:row r="16" ht="36">
      <x:c r="A16" s="3" t="s">
        <x:v>10</x:v>
      </x:c>
      <x:c r="B16" s="2" t="s">
        <x:v>11</x:v>
      </x:c>
    </x:row>
    <x:row r="17">
      <x:c r="B17" s="2"/>
    </x:row>
    <x:row r="18" ht="34">
      <x:c r="A18" s="2" t="s">
        <x:v>12</x:v>
      </x:c>
      <x:c r="B18" s="2"/>
    </x:row>
    <x:row r="19">
      <x:c r="B19" s="2"/>
    </x:row>
    <x:row r="20" ht="57">
      <x:c r="A20" s="1" t="s">
        <x:v>13</x:v>
      </x:c>
      <x:c r="B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24"/>
  <x:cols>
    <x:col min="1" max="1" width="45.33203125" style="12" customWidth="1"/>
    <x:col min="2" max="2" width="46.33203125" style="12" customWidth="1"/>
    <x:col min="3" max="3" width="31.6640625" style="12" customWidth="1"/>
    <x:col min="4" max="4" width="34.5" style="12" customWidth="1"/>
    <x:col min="5" max="5" width="12" style="12" hidden="0" customWidth="1"/>
    <x:col min="6" max="6" width="40" style="12" customWidth="1"/>
    <x:col min="7" max="16384" width="10.83203125" style="12" customWidth="0"/>
    <x:col min="7" max="7" width="14.670000076293945" hidden="0" customWidth="1"/>
  </x:cols>
  <x:sheetData>
    <x:row r="1" ht="30" customHeight="1">
      <x:c r="A1" s="11" t="str">
        <x:v>VitaNudge Regression Test Cases</x:v>
      </x:c>
      <x:c r="B1" s="11"/>
      <x:c r="C1" s="11"/>
      <x:c r="D1" s="11"/>
      <x:c r="E1" s="11"/>
      <x:c r="F1" s="11"/>
      <x:c r="G1"/>
    </x:row>
    <x:row r="2" ht="28" customHeight="1">
      <x:c r="A2" s="13" t="str">
        <x:v>Functionality</x:v>
      </x:c>
      <x:c r="B2" s="13" t="str">
        <x:v>Test cases</x:v>
      </x:c>
      <x:c r="C2" s="13" t="str">
        <x:v>Actual result</x:v>
      </x:c>
      <x:c r="D2" s="13" t="str">
        <x:v>Expected result</x:v>
      </x:c>
      <x:c r="E2" s="13" t="str">
        <x:v>Status</x:v>
      </x:c>
      <x:c r="F2" s="13" t="str">
        <x:v>Flow</x:v>
      </x:c>
      <x:c r="G2" s="22" t="str">
        <x:v>Testing date</x:v>
      </x:c>
    </x:row>
    <x:row r="3" ht="52" customHeight="1">
      <x:c r="A3" s="14" t="str">
        <x:v>Login &amp; Registration</x:v>
      </x:c>
      <x:c r="B3" s="15" t="str">
        <x:v>[Positive] Create temporary QA account</x:v>
      </x:c>
      <x:c r="C3" s="15" t="str">
        <x:v>Production: a unique QA account was created and redirected to first-time Goals setup.</x:v>
      </x:c>
      <x:c r="D3" s="15" t="str">
        <x:v>Account is created successfully and the user is signed in.</x:v>
      </x:c>
      <x:c r="E3" s="126" t="str">
        <x:v>Pass</x:v>
      </x:c>
      <x:c r="F3" s="15" t="str">
        <x:v>Open Register &gt; enter a valid name, unique email, and password &gt; select Create account.</x:v>
      </x:c>
      <x:c r="G3" s="20" t="str">
        <x:v>12-Jun-2026</x:v>
      </x:c>
    </x:row>
    <x:row r="4" ht="52" customHeight="1">
      <x:c r="A4" s="14" t="str">
        <x:v>Login &amp; Registration</x:v>
      </x:c>
      <x:c r="B4" s="15" t="str">
        <x:v>[Positive] Log in using valid registered credentials</x:v>
      </x:c>
      <x:c r="C4" s="15" t="str">
        <x:v>Automated backend regression: registered credentials authenticated successfully and returned a valid session.</x:v>
      </x:c>
      <x:c r="D4" s="15" t="str">
        <x:v>User is authenticated and redirected to the Today dashboard.</x:v>
      </x:c>
      <x:c r="E4" s="126" t="str">
        <x:v>Pass</x:v>
      </x:c>
      <x:c r="F4" s="15" t="str">
        <x:v>Open Login &gt; enter valid registered email and password &gt; select Continue to dashboard.</x:v>
      </x:c>
      <x:c r="G4" s="20" t="str">
        <x:v>12-Jun-2026</x:v>
      </x:c>
    </x:row>
    <x:row r="5" ht="52" customHeight="1">
      <x:c r="A5" s="14" t="str">
        <x:v>Login &amp; Registration</x:v>
      </x:c>
      <x:c r="B5" s="15" t="str">
        <x:v>[Negative] Log in with an email that has no account</x:v>
      </x:c>
      <x:c r="C5" s="15" t="str">
        <x:v>Production: an unregistered email showed a privacy-safe incorrect email/password message and kept Create free account visible.</x:v>
      </x:c>
      <x:c r="D5" s="15" t="str">
        <x:v>A privacy-safe incorrect email/password message is shown and Create free account remains visible.</x:v>
      </x:c>
      <x:c r="E5" s="126" t="str">
        <x:v>Pass</x:v>
      </x:c>
      <x:c r="F5" s="15" t="str">
        <x:v>Open Login &gt; enter an unregistered email and any password &gt; submit.</x:v>
      </x:c>
      <x:c r="G5" s="20" t="str">
        <x:v>12-Jun-2026</x:v>
      </x:c>
    </x:row>
    <x:row r="6" ht="52" customHeight="1">
      <x:c r="A6" s="14" t="str">
        <x:v>Login &amp; Registration</x:v>
      </x:c>
      <x:c r="B6" s="15" t="str">
        <x:v>[Negative] Log in with a valid email and incorrect password</x:v>
      </x:c>
      <x:c r="C6" s="15" t="str">
        <x:v>Automated backend regression: incorrect credentials were rejected without returning account data.</x:v>
      </x:c>
      <x:c r="D6" s="15" t="str">
        <x:v>Login is rejected without revealing whether the email exists.</x:v>
      </x:c>
      <x:c r="E6" s="126" t="str">
        <x:v>Pass</x:v>
      </x:c>
      <x:c r="F6" s="15" t="str">
        <x:v>Enter a registered email with an incorrect password &gt; submit.</x:v>
      </x:c>
      <x:c r="G6" s="20" t="str">
        <x:v>12-Jun-2026</x:v>
      </x:c>
    </x:row>
    <x:row r="7" ht="52" customHeight="1">
      <x:c r="A7" s="14" t="str">
        <x:v>Login &amp; Registration</x:v>
      </x:c>
      <x:c r="B7" s="15" t="str">
        <x:v>[Negative] Submit login with empty email and password</x:v>
      </x:c>
      <x:c r="C7" s="15" t="str">
        <x:v>Not executed in this production QA round.</x:v>
      </x:c>
      <x:c r="D7" s="15" t="str">
        <x:v>Required-field validation prevents submission.</x:v>
      </x:c>
      <x:c r="E7" s="127" t="str">
        <x:v>Not Tested</x:v>
      </x:c>
      <x:c r="F7" s="15" t="str">
        <x:v>Open Login &gt; leave both fields empty &gt; submit.</x:v>
      </x:c>
      <x:c r="G7" s="20" t="str">
        <x:v>12-Jun-2026</x:v>
      </x:c>
    </x:row>
    <x:row r="8" ht="52" customHeight="1">
      <x:c r="A8" s="14" t="str">
        <x:v>Login &amp; Registration</x:v>
      </x:c>
      <x:c r="B8" s="15" t="str">
        <x:v>[Negative] Register using an invalid email format</x:v>
      </x:c>
      <x:c r="C8" s="15" t="str">
        <x:v>Not executed in this production QA round.</x:v>
      </x:c>
      <x:c r="D8" s="15" t="str">
        <x:v>Email format validation prevents account creation.</x:v>
      </x:c>
      <x:c r="E8" s="127" t="str">
        <x:v>Not Tested</x:v>
      </x:c>
      <x:c r="F8" s="15" t="str">
        <x:v>Open Register &gt; enter name, invalid email text, and valid password &gt; submit.</x:v>
      </x:c>
      <x:c r="G8" s="20" t="str">
        <x:v>12-Jun-2026</x:v>
      </x:c>
    </x:row>
    <x:row r="9" ht="52" customHeight="1">
      <x:c r="A9" s="14" t="str">
        <x:v>Login &amp; Registration</x:v>
      </x:c>
      <x:c r="B9" s="15" t="str">
        <x:v>[Boundary] Register with a 5-character password</x:v>
      </x:c>
      <x:c r="C9" s="15" t="str">
        <x:v>Production: a 5-character password was rejected with 'Password must be at least 6 characters'.</x:v>
      </x:c>
      <x:c r="D9" s="15" t="str">
        <x:v>Registration is blocked because the minimum length is 6 characters.</x:v>
      </x:c>
      <x:c r="E9" s="126" t="str">
        <x:v>Pass</x:v>
      </x:c>
      <x:c r="F9" s="15" t="str">
        <x:v>Open Register &gt; enter valid name/email &gt; enter 5-character password &gt; submit.</x:v>
      </x:c>
      <x:c r="G9" s="20" t="str">
        <x:v>12-Jun-2026</x:v>
      </x:c>
    </x:row>
    <x:row r="10" ht="52" customHeight="1">
      <x:c r="A10" s="14" t="str">
        <x:v>Login &amp; Registration</x:v>
      </x:c>
      <x:c r="B10" s="15" t="str">
        <x:v>[Boundary] Register with exactly a 6-character password</x:v>
      </x:c>
      <x:c r="C10" s="15" t="str">
        <x:v>Production: an exact 6-character password was accepted and the account was created.</x:v>
      </x:c>
      <x:c r="D10" s="15" t="str">
        <x:v>Registration succeeds when all other values are valid.</x:v>
      </x:c>
      <x:c r="E10" s="126" t="str">
        <x:v>Pass</x:v>
      </x:c>
      <x:c r="F10" s="15" t="str">
        <x:v>Open Register &gt; enter valid name and unique email &gt; enter exactly 6 characters &gt; submit.</x:v>
      </x:c>
      <x:c r="G10" s="20" t="str">
        <x:v>12-Jun-2026</x:v>
      </x:c>
    </x:row>
    <x:row r="11" ht="52" customHeight="1">
      <x:c r="A11" s="14" t="str">
        <x:v>Login &amp; Registration</x:v>
      </x:c>
      <x:c r="B11" s="15" t="str">
        <x:v>[Negative] Register using an email that already exists</x:v>
      </x:c>
      <x:c r="C11" s="15" t="str">
        <x:v>Not executed in this production QA round.</x:v>
      </x:c>
      <x:c r="D11" s="15" t="str">
        <x:v>Duplicate account is rejected with a clear message and no duplicate user is created.</x:v>
      </x:c>
      <x:c r="E11" s="127" t="str">
        <x:v>Not Tested</x:v>
      </x:c>
      <x:c r="F11" s="15" t="str">
        <x:v>Open Register &gt; enter an existing email with valid name/password &gt; submit.</x:v>
      </x:c>
      <x:c r="G11" s="20" t="str">
        <x:v>12-Jun-2026</x:v>
      </x:c>
    </x:row>
    <x:row r="12" ht="52" customHeight="1">
      <x:c r="A12" s="14" t="str">
        <x:v>Login &amp; Registration</x:v>
      </x:c>
      <x:c r="B12" s="15" t="str">
        <x:v>[Edge] Use leading/trailing spaces and uppercase letters in email</x:v>
      </x:c>
      <x:c r="C12" s="15" t="str">
        <x:v>Not executed in this production QA round.</x:v>
      </x:c>
      <x:c r="D12" s="15" t="str">
        <x:v>Email is normalized consistently and authentication behaves predictably.</x:v>
      </x:c>
      <x:c r="E12" s="127" t="str">
        <x:v>Not Tested</x:v>
      </x:c>
      <x:c r="F12" s="15" t="str">
        <x:v>Register or log in using spaces around an uppercase email address.</x:v>
      </x:c>
      <x:c r="G12" s="19" t="str">
        <x:v>12-Jun-2026</x:v>
      </x:c>
    </x:row>
    <x:row r="13" ht="52" customHeight="1">
      <x:c r="A13" s="14" t="str">
        <x:v>Login &amp; Registration</x:v>
      </x:c>
      <x:c r="B13" s="15" t="str">
        <x:v>[Boundary] Enter maximum practical name and email lengths</x:v>
      </x:c>
      <x:c r="C13" s="15" t="str">
        <x:v>Not executed in this production QA round.</x:v>
      </x:c>
      <x:c r="D13" s="15" t="str">
        <x:v>The form remains usable and the API applies documented length validation.</x:v>
      </x:c>
      <x:c r="E13" s="127" t="str">
        <x:v>Not Tested</x:v>
      </x:c>
      <x:c r="F13" s="15" t="str">
        <x:v>Paste long but valid name/email values near accepted limits &gt; submit.</x:v>
      </x:c>
      <x:c r="G13" s="20" t="str">
        <x:v>12-Jun-2026</x:v>
      </x:c>
    </x:row>
    <x:row r="14" ht="52" customHeight="1">
      <x:c r="A14" s="14" t="str">
        <x:v>Login &amp; Registration</x:v>
      </x:c>
      <x:c r="B14" s="15" t="str">
        <x:v>[Edge] Verify Register page login link on a 390px mobile viewport</x:v>
      </x:c>
      <x:c r="C14" s="15" t="str">
        <x:v>Production at 390x844: the Register-page Log in link was fully visible at 663-678px in an 844px viewport.</x:v>
      </x:c>
      <x:c r="D14" s="15" t="str">
        <x:v>Already have an account? Log in is fully visible without scrolling or clipping.</x:v>
      </x:c>
      <x:c r="E14" s="126" t="str">
        <x:v>Pass</x:v>
      </x:c>
      <x:c r="F14" s="15" t="str">
        <x:v>Open Register on a 390x844 viewport &gt; inspect the bottom of the form.</x:v>
      </x:c>
      <x:c r="G14" s="20" t="str">
        <x:v>12-Jun-2026</x:v>
      </x:c>
    </x:row>
    <x:row r="15" ht="52" customHeight="1">
      <x:c r="A15" s="14" t="str">
        <x:v>Login &amp; Registration</x:v>
      </x:c>
      <x:c r="B15" s="15" t="str">
        <x:v>[Positive] Request password reset for a registered email</x:v>
      </x:c>
      <x:c r="C15" s="15" t="str">
        <x:v>Not executed in this production QA round.</x:v>
      </x:c>
      <x:c r="D15" s="15" t="str">
        <x:v>A neutral confirmation is displayed and reset instructions are sent when configured.</x:v>
      </x:c>
      <x:c r="E15" s="127" t="str">
        <x:v>Not Tested</x:v>
      </x:c>
      <x:c r="F15" s="15" t="str">
        <x:v>Open Forgot password &gt; enter registered email &gt; submit.</x:v>
      </x:c>
      <x:c r="G15" s="20" t="str">
        <x:v>12-Jun-2026</x:v>
      </x:c>
    </x:row>
    <x:row r="16" ht="52" customHeight="1">
      <x:c r="A16" s="14" t="str">
        <x:v>Login &amp; Registration</x:v>
      </x:c>
      <x:c r="B16" s="15" t="str">
        <x:v>[Negative] Request password reset for an unknown email</x:v>
      </x:c>
      <x:c r="C16" s="15" t="str">
        <x:v>Not executed in this production QA round.</x:v>
      </x:c>
      <x:c r="D16" s="15" t="str">
        <x:v>The same neutral confirmation is displayed to prevent account enumeration.</x:v>
      </x:c>
      <x:c r="E16" s="127" t="str">
        <x:v>Not Tested</x:v>
      </x:c>
      <x:c r="F16" s="15" t="str">
        <x:v>Open Forgot password &gt; enter unknown email &gt; submit.</x:v>
      </x:c>
      <x:c r="G16" s="20" t="str">
        <x:v>12-Jun-2026</x:v>
      </x:c>
    </x:row>
    <x:row r="17" ht="52" customHeight="1">
      <x:c r="A17" s="14" t="str">
        <x:v>Login &amp; Registration</x:v>
      </x:c>
      <x:c r="B17" s="15" t="str">
        <x:v>[Negative] Open a protected page while logged out</x:v>
      </x:c>
      <x:c r="C17" s="15" t="str">
        <x:v>Not executed in this production QA round.</x:v>
      </x:c>
      <x:c r="D17" s="15" t="str">
        <x:v>User is redirected to Login and protected data is not shown.</x:v>
      </x:c>
      <x:c r="E17" s="127" t="str">
        <x:v>Not Tested</x:v>
      </x:c>
      <x:c r="F17" s="15" t="str">
        <x:v>Log out &gt; directly open /goals, /profile, or /report.</x:v>
      </x:c>
      <x:c r="G17" s="20" t="str">
        <x:v>12-Jun-2026</x:v>
      </x:c>
    </x:row>
    <x:row r="18" ht="52" customHeight="1">
      <x:c r="A18" s="14" t="str">
        <x:v>Login &amp; Registration</x:v>
      </x:c>
      <x:c r="B18" s="15" t="str">
        <x:v>[Positive] Log out from the profile menu</x:v>
      </x:c>
      <x:c r="C18" s="15" t="str">
        <x:v>Not executed in this production QA round.</x:v>
      </x:c>
      <x:c r="D18" s="15" t="str">
        <x:v>Session token is cleared and the user returns to Login.</x:v>
      </x:c>
      <x:c r="E18" s="127" t="str">
        <x:v>Not Tested</x:v>
      </x:c>
      <x:c r="F18" s="15" t="str">
        <x:v>Open username menu &gt; select Log out &gt; revisit a protected URL.</x:v>
      </x:c>
      <x:c r="G18" s="20" t="str">
        <x:v>12-Jun-2026</x:v>
      </x:c>
    </x:row>
    <x:row r="19" ht="52" customHeight="1">
      <x:c r="A19" s="14" t="str">
        <x:v>Navigation &amp; Access</x:v>
      </x:c>
      <x:c r="B19" s="15" t="str">
        <x:v>[Positive] Navigate through Today, Add Food, Coach, Reports, and Tools</x:v>
      </x:c>
      <x:c r="C19" s="15" t="str">
        <x:v>Production: Today, Add Food, Coach, Reports, and Tools opened; active states were visible for routed pages.</x:v>
      </x:c>
      <x:c r="D19" s="15" t="str">
        <x:v>Each destination opens and only the correct navigation item is active.</x:v>
      </x:c>
      <x:c r="E19" s="126" t="str">
        <x:v>Pass</x:v>
      </x:c>
      <x:c r="F19" s="15" t="str">
        <x:v>Log in &gt; select each primary navigation item in sequence.</x:v>
      </x:c>
      <x:c r="G19" s="20" t="str">
        <x:v>12-Jun-2026</x:v>
      </x:c>
    </x:row>
    <x:row r="20" ht="52" customHeight="1">
      <x:c r="A20" s="14" t="str">
        <x:v>Navigation &amp; Access</x:v>
      </x:c>
      <x:c r="B20" s="15" t="str">
        <x:v>[Positive] Open a Tools subpage</x:v>
      </x:c>
      <x:c r="C20" s="15" t="str">
        <x:v>Production: Tools opened its drawer and the Core Body subpage loaded successfully.</x:v>
      </x:c>
      <x:c r="D20" s="15" t="str">
        <x:v>Tools remains highlighted for Body, Clinical, Medications, Food Library, Recipes, and Templates.</x:v>
      </x:c>
      <x:c r="E20" s="126" t="str">
        <x:v>Pass</x:v>
      </x:c>
      <x:c r="F20" s="15" t="str">
        <x:v>Open Tools &gt; select each available tool.</x:v>
      </x:c>
      <x:c r="G20" s="20" t="str">
        <x:v>12-Jun-2026</x:v>
      </x:c>
    </x:row>
    <x:row r="21" ht="52" customHeight="1">
      <x:c r="A21" s="14" t="str">
        <x:v>Navigation &amp; Access</x:v>
      </x:c>
      <x:c r="B21" s="15" t="str">
        <x:v>[Positive] Open Profile, Goals, and My saved recipes from username menu</x:v>
      </x:c>
      <x:c r="C21" s="15" t="str">
        <x:v>Not executed in this production QA round.</x:v>
      </x:c>
      <x:c r="D21" s="15" t="str">
        <x:v>Each item opens its own correct page.</x:v>
      </x:c>
      <x:c r="E21" s="127" t="str">
        <x:v>Not Tested</x:v>
      </x:c>
      <x:c r="F21" s="15" t="str">
        <x:v>Open username menu &gt; select each menu item.</x:v>
      </x:c>
      <x:c r="G21" s="20" t="str">
        <x:v>12-Jun-2026</x:v>
      </x:c>
    </x:row>
    <x:row r="22" ht="52" customHeight="1">
      <x:c r="A22" s="14" t="str">
        <x:v>Navigation &amp; Access</x:v>
      </x:c>
      <x:c r="B22" s="15" t="str">
        <x:v>[Edge] Close username menu by clicking outside</x:v>
      </x:c>
      <x:c r="C22" s="15" t="str">
        <x:v>Not executed in this production QA round.</x:v>
      </x:c>
      <x:c r="D22" s="15" t="str">
        <x:v>Menu closes without navigating or changing data.</x:v>
      </x:c>
      <x:c r="E22" s="127" t="str">
        <x:v>Not Tested</x:v>
      </x:c>
      <x:c r="F22" s="15" t="str">
        <x:v>Open username menu &gt; click outside the menu.</x:v>
      </x:c>
      <x:c r="G22" s="20" t="str">
        <x:v>12-Jun-2026</x:v>
      </x:c>
    </x:row>
    <x:row r="23" ht="52" customHeight="1">
      <x:c r="A23" s="14" t="str">
        <x:v>Navigation &amp; Access</x:v>
      </x:c>
      <x:c r="B23" s="15" t="str">
        <x:v>[Edge] Close username menu using Escape</x:v>
      </x:c>
      <x:c r="C23" s="15" t="str">
        <x:v>Not executed in this production QA round.</x:v>
      </x:c>
      <x:c r="D23" s="15" t="str">
        <x:v>Menu closes and keyboard focus remains usable.</x:v>
      </x:c>
      <x:c r="E23" s="127" t="str">
        <x:v>Not Tested</x:v>
      </x:c>
      <x:c r="F23" s="15" t="str">
        <x:v>Open username menu &gt; press Escape.</x:v>
      </x:c>
      <x:c r="G23" s="20" t="str">
        <x:v>12-Jun-2026</x:v>
      </x:c>
    </x:row>
    <x:row r="24" ht="52" customHeight="1">
      <x:c r="A24" s="14" t="str">
        <x:v>Navigation &amp; Access</x:v>
      </x:c>
      <x:c r="B24" s="15" t="str">
        <x:v>[Positive] Verify legacy URLs redirect correctly</x:v>
      </x:c>
      <x:c r="C24" s="15" t="str">
        <x:v>Not executed in this production QA round.</x:v>
      </x:c>
      <x:c r="D24" s="15" t="str">
        <x:v>/barcode, /water, /weight, /glucose, /vitals, and /weekly redirect to their current pages.</x:v>
      </x:c>
      <x:c r="E24" s="127" t="str">
        <x:v>Not Tested</x:v>
      </x:c>
      <x:c r="F24" s="15" t="str">
        <x:v>Open each legacy URL directly while signed in.</x:v>
      </x:c>
      <x:c r="G24" s="20" t="str">
        <x:v>12-Jun-2026</x:v>
      </x:c>
    </x:row>
    <x:row r="25" ht="52" customHeight="1">
      <x:c r="A25" s="14" t="str">
        <x:v>Navigation &amp; Access</x:v>
      </x:c>
      <x:c r="B25" s="15" t="str">
        <x:v>[Negative] Open an unknown application route</x:v>
      </x:c>
      <x:c r="C25" s="15" t="str">
        <x:v>Production: an unknown authenticated route redirected safely to Today.</x:v>
      </x:c>
      <x:c r="D25" s="15" t="str">
        <x:v>User is safely redirected to Today without a blank screen.</x:v>
      </x:c>
      <x:c r="E25" s="126" t="str">
        <x:v>Pass</x:v>
      </x:c>
      <x:c r="F25" s="15" t="str">
        <x:v>Open a random unsupported path after the domain.</x:v>
      </x:c>
      <x:c r="G25" s="20" t="str">
        <x:v>12-Jun-2026</x:v>
      </x:c>
    </x:row>
    <x:row r="26" ht="52" customHeight="1">
      <x:c r="A26" s="14" t="str">
        <x:v>Navigation &amp; Access</x:v>
      </x:c>
      <x:c r="B26" s="15" t="str">
        <x:v>[Edge] Refresh every protected route</x:v>
      </x:c>
      <x:c r="C26" s="15" t="str">
        <x:v>Not executed in this production QA round.</x:v>
      </x:c>
      <x:c r="D26" s="15" t="str">
        <x:v>The page restores the authenticated session and current route without redirect loops.</x:v>
      </x:c>
      <x:c r="E26" s="127" t="str">
        <x:v>Not Tested</x:v>
      </x:c>
      <x:c r="F26" s="15" t="str">
        <x:v>Open each major page &gt; refresh the browser.</x:v>
      </x:c>
      <x:c r="G26" s="20" t="str">
        <x:v>12-Jun-2026</x:v>
      </x:c>
    </x:row>
    <x:row r="27" ht="52" customHeight="1">
      <x:c r="A27" s="14" t="str">
        <x:v>Subscription &amp; Tier Access</x:v>
      </x:c>
      <x:c r="B27" s="15" t="str">
        <x:v>[Positive] Core user opens included features</x:v>
      </x:c>
      <x:c r="C27" s="15" t="str">
        <x:v>Production Core account opened Today, Add Food, Body, Profile, Goals, and Reports without an inappropriate paywall.</x:v>
      </x:c>
      <x:c r="D27" s="15" t="str">
        <x:v>Core features load without an upgrade prompt.</x:v>
      </x:c>
      <x:c r="E27" s="126" t="str">
        <x:v>Pass</x:v>
      </x:c>
      <x:c r="F27" s="15" t="str">
        <x:v>Use Today, Body, Clinical basic logs, Food Library, profile, goals, and allowed scan quotas.</x:v>
      </x:c>
      <x:c r="G27" s="20" t="str">
        <x:v>12-Jun-2026</x:v>
      </x:c>
    </x:row>
    <x:row r="28" ht="52" customHeight="1">
      <x:c r="A28" s="14" t="str">
        <x:v>Subscription &amp; Tier Access</x:v>
      </x:c>
      <x:c r="B28" s="15" t="str">
        <x:v>[Negative] Core user opens a Pro-only feature</x:v>
      </x:c>
      <x:c r="C28" s="15" t="str">
        <x:v>Production Core account opened Medications and received a visible Pro explanation/upgrade screen.</x:v>
      </x:c>
      <x:c r="D28" s="15" t="str">
        <x:v>A visible upgrade dialog explains the required plan and can be closed.</x:v>
      </x:c>
      <x:c r="E28" s="126" t="str">
        <x:v>Pass</x:v>
      </x:c>
      <x:c r="F28" s="15" t="str">
        <x:v>Using a Core account, open Medications, Recipes save, Templates, or another gated action.</x:v>
      </x:c>
      <x:c r="G28" s="20" t="str">
        <x:v>12-Jun-2026</x:v>
      </x:c>
    </x:row>
    <x:row r="29" ht="52" customHeight="1">
      <x:c r="A29" s="14" t="str">
        <x:v>Subscription &amp; Tier Access</x:v>
      </x:c>
      <x:c r="B29" s="15" t="str">
        <x:v>[Positive] Pro user opens all Pro features</x:v>
      </x:c>
      <x:c r="C29" s="15" t="str">
        <x:v>Blocked: no Pro QA account was available to verify unrestricted Pro access.</x:v>
      </x:c>
      <x:c r="D29" s="15" t="str">
        <x:v>Pro features work without an upgrade prompt.</x:v>
      </x:c>
      <x:c r="E29" s="128" t="str">
        <x:v>Blocked</x:v>
      </x:c>
      <x:c r="F29" s="15" t="str">
        <x:v>Sign in as Pro &gt; use recipes, templates, medications, advanced coach, scans, and exports.</x:v>
      </x:c>
      <x:c r="G29" s="20" t="str">
        <x:v>12-Jun-2026</x:v>
      </x:c>
    </x:row>
    <x:row r="30" ht="52" customHeight="1">
      <x:c r="A30" s="14" t="str">
        <x:v>Subscription &amp; Tier Access</x:v>
      </x:c>
      <x:c r="B30" s="15" t="str">
        <x:v>[Positive] Clinical user opens Clinical-only functionality</x:v>
      </x:c>
      <x:c r="C30" s="15" t="str">
        <x:v>Blocked: no Clinical QA account was available to verify Clinical-only access.</x:v>
      </x:c>
      <x:c r="D30" s="15" t="str">
        <x:v>Clinical-specific features open and all lower-tier features remain available.</x:v>
      </x:c>
      <x:c r="E30" s="128" t="str">
        <x:v>Blocked</x:v>
      </x:c>
      <x:c r="F30" s="15" t="str">
        <x:v>Sign in as Clinical &gt; open Clinical functionality and Pro/Core features.</x:v>
      </x:c>
      <x:c r="G30" s="20" t="str">
        <x:v>12-Jun-2026</x:v>
      </x:c>
    </x:row>
    <x:row r="31" ht="52" customHeight="1">
      <x:c r="A31" s="14" t="str">
        <x:v>Subscription &amp; Tier Access</x:v>
      </x:c>
      <x:c r="B31" s="15" t="str">
        <x:v>[Boundary] Use the last free label scan and barcode lookup</x:v>
      </x:c>
      <x:c r="C31" s="15" t="str">
        <x:v>Blocked: production quota counters were not manipulated to the final-use boundary.</x:v>
      </x:c>
      <x:c r="D31" s="15" t="str">
        <x:v>The final included use succeeds and the counter reaches its exact limit.</x:v>
      </x:c>
      <x:c r="E31" s="128" t="str">
        <x:v>Blocked</x:v>
      </x:c>
      <x:c r="F31" s="15" t="str">
        <x:v>Set counters to one below the limit &gt; complete one successful lookup/scan.</x:v>
      </x:c>
      <x:c r="G31" s="20" t="str">
        <x:v>12-Jun-2026</x:v>
      </x:c>
    </x:row>
    <x:row r="32" ht="52" customHeight="1">
      <x:c r="A32" s="14" t="str">
        <x:v>Subscription &amp; Tier Access</x:v>
      </x:c>
      <x:c r="B32" s="15" t="str">
        <x:v>[Boundary] Attempt one scan or barcode lookup beyond the free quota</x:v>
      </x:c>
      <x:c r="C32" s="15" t="str">
        <x:v>Blocked: production quota counters were not exhausted to avoid consuming live allowances.</x:v>
      </x:c>
      <x:c r="D32" s="15" t="str">
        <x:v>Operation is blocked before paid usage and the upgrade dialog is shown.</x:v>
      </x:c>
      <x:c r="E32" s="128" t="str">
        <x:v>Blocked</x:v>
      </x:c>
      <x:c r="F32" s="15" t="str">
        <x:v>Exhaust the free quota &gt; attempt one additional successful operation.</x:v>
      </x:c>
      <x:c r="G32" s="20" t="str">
        <x:v>12-Jun-2026</x:v>
      </x:c>
    </x:row>
    <x:row r="33" ht="52" customHeight="1">
      <x:c r="A33" s="14" t="str">
        <x:v>Subscription &amp; Tier Access</x:v>
      </x:c>
      <x:c r="B33" s="15" t="str">
        <x:v>[Edge] Subscription expires during an authenticated session</x:v>
      </x:c>
      <x:c r="C33" s="15" t="str">
        <x:v>Blocked: no expired paid QA subscription was available.</x:v>
      </x:c>
      <x:c r="D33" s="15" t="str">
        <x:v>The next protected request re-evaluates access and shows a clear upgrade message.</x:v>
      </x:c>
      <x:c r="E33" s="128" t="str">
        <x:v>Blocked</x:v>
      </x:c>
      <x:c r="F33" s="15" t="str">
        <x:v>Use an expired paid QA account &gt; refresh or call a gated feature.</x:v>
      </x:c>
      <x:c r="G33" s="20" t="str">
        <x:v>12-Jun-2026</x:v>
      </x:c>
    </x:row>
    <x:row r="34" ht="52" customHeight="1">
      <x:c r="A34" s="14" t="str">
        <x:v>Today Dashboard</x:v>
      </x:c>
      <x:c r="B34" s="15" t="str">
        <x:v>[Positive] Load Today with no meal logs</x:v>
      </x:c>
      <x:c r="C34" s="15" t="str">
        <x:v>Production fresh account showed current date, zero meals, default macro targets, and a first-action suggestion.</x:v>
      </x:c>
      <x:c r="D34" s="15" t="str">
        <x:v>Zero-state summary, current date, macro targets, and suggested first action are displayed.</x:v>
      </x:c>
      <x:c r="E34" s="126" t="str">
        <x:v>Pass</x:v>
      </x:c>
      <x:c r="F34" s="15" t="str">
        <x:v>Sign in with a clean account &gt; open Today.</x:v>
      </x:c>
      <x:c r="G34" s="20" t="str">
        <x:v>12-Jun-2026</x:v>
      </x:c>
    </x:row>
    <x:row r="35" ht="52" customHeight="1">
      <x:c r="A35" s="14" t="str">
        <x:v>Today Dashboard</x:v>
      </x:c>
      <x:c r="B35" s="15" t="str">
        <x:v>[Positive] Add a food to Breakfast</x:v>
      </x:c>
      <x:c r="C35" s="15" t="str">
        <x:v>Production: Green apple was selected for Breakfast, but '+ Add' did not create the meal or update dashboard totals after repeated attempts.</x:v>
      </x:c>
      <x:c r="D35" s="15" t="str">
        <x:v>Meal, calories, protein, fibre, and carbs update immediately.</x:v>
      </x:c>
      <x:c r="E35" s="129" t="str">
        <x:v>Fail</x:v>
      </x:c>
      <x:c r="F35" s="15" t="str">
        <x:v>Search Breakfast &gt; choose a food &gt; set quantity/unit &gt; Add.</x:v>
      </x:c>
      <x:c r="G35" s="20" t="str">
        <x:v>12-Jun-2026</x:v>
      </x:c>
    </x:row>
    <x:row r="36" ht="52" customHeight="1">
      <x:c r="A36" s="14" t="str">
        <x:v>Today Dashboard</x:v>
      </x:c>
      <x:c r="B36" s="15" t="str">
        <x:v>[Positive] Add foods to Lunch, Dinner, and Snack</x:v>
      </x:c>
      <x:c r="C36" s="15" t="str">
        <x:v>Not executed in this production QA round.</x:v>
      </x:c>
      <x:c r="D36" s="15" t="str">
        <x:v>Each food appears only in the selected meal and totals include all meals.</x:v>
      </x:c>
      <x:c r="E36" s="127" t="str">
        <x:v>Not Tested</x:v>
      </x:c>
      <x:c r="F36" s="15" t="str">
        <x:v>Repeat food add in Lunch, Dinner, and Snack.</x:v>
      </x:c>
      <x:c r="G36" s="20" t="str">
        <x:v>12-Jun-2026</x:v>
      </x:c>
    </x:row>
    <x:row r="37" ht="52" customHeight="1">
      <x:c r="A37" s="14" t="str">
        <x:v>Today Dashboard</x:v>
      </x:c>
      <x:c r="B37" s="15" t="str">
        <x:v>[Negative] Try to add food without selecting a search result</x:v>
      </x:c>
      <x:c r="C37" s="15" t="str">
        <x:v>Not executed in this production QA round.</x:v>
      </x:c>
      <x:c r="D37" s="15" t="str">
        <x:v>No meal entry is created.</x:v>
      </x:c>
      <x:c r="E37" s="127" t="str">
        <x:v>Not Tested</x:v>
      </x:c>
      <x:c r="F37" s="15" t="str">
        <x:v>Type unmatched text in a meal search without selecting a food &gt; attempt Add.</x:v>
      </x:c>
      <x:c r="G37" s="20" t="str">
        <x:v>12-Jun-2026</x:v>
      </x:c>
    </x:row>
    <x:row r="38" ht="52" customHeight="1">
      <x:c r="A38" s="14" t="str">
        <x:v>Today Dashboard</x:v>
      </x:c>
      <x:c r="B38" s="15" t="str">
        <x:v>[Boundary] Add the minimum allowed positive quantity</x:v>
      </x:c>
      <x:c r="C38" s="15" t="str">
        <x:v>Not executed in this production QA round.</x:v>
      </x:c>
      <x:c r="D38" s="15" t="str">
        <x:v>A small positive quantity is accepted and macros scale correctly.</x:v>
      </x:c>
      <x:c r="E38" s="127" t="str">
        <x:v>Not Tested</x:v>
      </x:c>
      <x:c r="F38" s="15" t="str">
        <x:v>Select food &gt; enter minimum supported quantity &gt; Add.</x:v>
      </x:c>
      <x:c r="G38" s="20" t="str">
        <x:v>12-Jun-2026</x:v>
      </x:c>
    </x:row>
    <x:row r="39" ht="52" customHeight="1">
      <x:c r="A39" s="14" t="str">
        <x:v>Today Dashboard</x:v>
      </x:c>
      <x:c r="B39" s="15" t="str">
        <x:v>[Boundary] Enter zero quantity</x:v>
      </x:c>
      <x:c r="C39" s="15" t="str">
        <x:v>Not executed in this production QA round.</x:v>
      </x:c>
      <x:c r="D39" s="15" t="str">
        <x:v>Entry is blocked and no zero-value meal is created.</x:v>
      </x:c>
      <x:c r="E39" s="127" t="str">
        <x:v>Not Tested</x:v>
      </x:c>
      <x:c r="F39" s="15" t="str">
        <x:v>Select food &gt; set quantity to 0 &gt; attempt Add.</x:v>
      </x:c>
      <x:c r="G39" s="20" t="str">
        <x:v>12-Jun-2026</x:v>
      </x:c>
    </x:row>
    <x:row r="40" ht="52" customHeight="1">
      <x:c r="A40" s="14" t="str">
        <x:v>Today Dashboard</x:v>
      </x:c>
      <x:c r="B40" s="15" t="str">
        <x:v>[Negative] Enter a negative quantity</x:v>
      </x:c>
      <x:c r="C40" s="15" t="str">
        <x:v>Not executed in this production QA round.</x:v>
      </x:c>
      <x:c r="D40" s="15" t="str">
        <x:v>Validation rejects the value and no entry is created.</x:v>
      </x:c>
      <x:c r="E40" s="127" t="str">
        <x:v>Not Tested</x:v>
      </x:c>
      <x:c r="F40" s="15" t="str">
        <x:v>Select food &gt; enter a negative quantity &gt; attempt Add.</x:v>
      </x:c>
      <x:c r="G40" s="20" t="str">
        <x:v>12-Jun-2026</x:v>
      </x:c>
    </x:row>
    <x:row r="41" ht="52" customHeight="1">
      <x:c r="A41" s="14" t="str">
        <x:v>Today Dashboard</x:v>
      </x:c>
      <x:c r="B41" s="15" t="str">
        <x:v>[Edge] Enter a very large quantity</x:v>
      </x:c>
      <x:c r="C41" s="15" t="str">
        <x:v>Not executed in this production QA round.</x:v>
      </x:c>
      <x:c r="D41" s="15" t="str">
        <x:v>The app either validates the maximum or saves without overflow/NaN values.</x:v>
      </x:c>
      <x:c r="E41" s="127" t="str">
        <x:v>Not Tested</x:v>
      </x:c>
      <x:c r="F41" s="15" t="str">
        <x:v>Select food &gt; enter an unusually large numeric quantity &gt; Add.</x:v>
      </x:c>
      <x:c r="G41" s="20" t="str">
        <x:v>12-Jun-2026</x:v>
      </x:c>
    </x:row>
    <x:row r="42" ht="52" customHeight="1">
      <x:c r="A42" s="14" t="str">
        <x:v>Today Dashboard</x:v>
      </x:c>
      <x:c r="B42" s="15" t="str">
        <x:v>[Positive] Edit quantity and unit of a logged meal</x:v>
      </x:c>
      <x:c r="C42" s="15" t="str">
        <x:v>Automated backend CRUD/integration coverage passed, but this complete browser/UI scenario was not executed.</x:v>
      </x:c>
      <x:c r="D42" s="15" t="str">
        <x:v>The entry and dashboard totals recalculate and persist after refresh.</x:v>
      </x:c>
      <x:c r="E42" s="127" t="str">
        <x:v>Not Tested</x:v>
      </x:c>
      <x:c r="F42" s="15" t="str">
        <x:v>Log food &gt; select Edit &gt; change quantity/unit &gt; Save &gt; refresh.</x:v>
      </x:c>
      <x:c r="G42" s="20" t="str">
        <x:v>12-Jun-2026</x:v>
      </x:c>
    </x:row>
    <x:row r="43" ht="52" customHeight="1">
      <x:c r="A43" s="14" t="str">
        <x:v>Today Dashboard</x:v>
      </x:c>
      <x:c r="B43" s="15" t="str">
        <x:v>[Negative] Edit a logged meal with zero or invalid quantity</x:v>
      </x:c>
      <x:c r="C43" s="15" t="str">
        <x:v>Not executed in this production QA round.</x:v>
      </x:c>
      <x:c r="D43" s="15" t="str">
        <x:v>Save is blocked and the original log remains unchanged.</x:v>
      </x:c>
      <x:c r="E43" s="127" t="str">
        <x:v>Not Tested</x:v>
      </x:c>
      <x:c r="F43" s="15" t="str">
        <x:v>Edit a meal &gt; enter zero, negative, or non-numeric quantity &gt; Save.</x:v>
      </x:c>
      <x:c r="G43" s="20" t="str">
        <x:v>12-Jun-2026</x:v>
      </x:c>
    </x:row>
    <x:row r="44" ht="52" customHeight="1">
      <x:c r="A44" s="14" t="str">
        <x:v>Today Dashboard</x:v>
      </x:c>
      <x:c r="B44" s="15" t="str">
        <x:v>[Positive] Delete a logged meal entry</x:v>
      </x:c>
      <x:c r="C44" s="15" t="str">
        <x:v>Automated backend CRUD/integration coverage passed, but this complete browser/UI scenario was not executed.</x:v>
      </x:c>
      <x:c r="D44" s="15" t="str">
        <x:v>Entry is removed and all summary values recalculate.</x:v>
      </x:c>
      <x:c r="E44" s="127" t="str">
        <x:v>Not Tested</x:v>
      </x:c>
      <x:c r="F44" s="15" t="str">
        <x:v>Log a food &gt; select Delete &gt; confirm if prompted.</x:v>
      </x:c>
      <x:c r="G44" s="20" t="str">
        <x:v>12-Jun-2026</x:v>
      </x:c>
    </x:row>
    <x:row r="45" ht="52" customHeight="1">
      <x:c r="A45" s="14" t="str">
        <x:v>Today Dashboard</x:v>
      </x:c>
      <x:c r="B45" s="15" t="str">
        <x:v>[Positive] Navigate to a previous date</x:v>
      </x:c>
      <x:c r="C45" s="15" t="str">
        <x:v>Not executed in this production QA round.</x:v>
      </x:c>
      <x:c r="D45" s="15" t="str">
        <x:v>The selected date and only that date's meal logs are displayed.</x:v>
      </x:c>
      <x:c r="E45" s="127" t="str">
        <x:v>Not Tested</x:v>
      </x:c>
      <x:c r="F45" s="15" t="str">
        <x:v>Select the previous-day arrow on Today.</x:v>
      </x:c>
      <x:c r="G45" s="20" t="str">
        <x:v>12-Jun-2026</x:v>
      </x:c>
    </x:row>
    <x:row r="46" ht="52" customHeight="1">
      <x:c r="A46" s="14" t="str">
        <x:v>Today Dashboard</x:v>
      </x:c>
      <x:c r="B46" s="15" t="str">
        <x:v>[Boundary] Attempt to navigate beyond today</x:v>
      </x:c>
      <x:c r="C46" s="15" t="str">
        <x:v>Not executed in this production QA round.</x:v>
      </x:c>
      <x:c r="D46" s="15" t="str">
        <x:v>Next-day arrow is disabled and future dates cannot be selected.</x:v>
      </x:c>
      <x:c r="E46" s="127" t="str">
        <x:v>Not Tested</x:v>
      </x:c>
      <x:c r="F46" s="15" t="str">
        <x:v>Open Today &gt; inspect/select the forward arrow.</x:v>
      </x:c>
      <x:c r="G46" s="20" t="str">
        <x:v>12-Jun-2026</x:v>
      </x:c>
    </x:row>
    <x:row r="47" ht="52" customHeight="1">
      <x:c r="A47" s="14" t="str">
        <x:v>Today Dashboard</x:v>
      </x:c>
      <x:c r="B47" s="15" t="str">
        <x:v>[Edge] Refresh after selecting a historical date</x:v>
      </x:c>
      <x:c r="C47" s="15" t="str">
        <x:v>Not executed in this production QA round.</x:v>
      </x:c>
      <x:c r="D47" s="15" t="str">
        <x:v>App returns to its documented default date without corrupting logs.</x:v>
      </x:c>
      <x:c r="E47" s="127" t="str">
        <x:v>Not Tested</x:v>
      </x:c>
      <x:c r="F47" s="15" t="str">
        <x:v>Open a previous date &gt; refresh.</x:v>
      </x:c>
      <x:c r="G47" s="20" t="str">
        <x:v>12-Jun-2026</x:v>
      </x:c>
    </x:row>
    <x:row r="48" ht="52" customHeight="1">
      <x:c r="A48" s="14" t="str">
        <x:v>Today Dashboard</x:v>
      </x:c>
      <x:c r="B48" s="15" t="str">
        <x:v>[Positive] Show incomplete-profile reminder after the first food is added</x:v>
      </x:c>
      <x:c r="C48" s="15" t="str">
        <x:v>Blocked by the failed Today meal-add workflow; the first-food reminder could not be triggered.</x:v>
      </x:c>
      <x:c r="D48" s="15" t="str">
        <x:v>A centered, fully visible profile reminder opens above every sticky header.</x:v>
      </x:c>
      <x:c r="E48" s="128" t="str">
        <x:v>Blocked</x:v>
      </x:c>
      <x:c r="F48" s="15" t="str">
        <x:v>Use an incomplete profile &gt; add the first food on Today.</x:v>
      </x:c>
      <x:c r="G48" s="20" t="str">
        <x:v>12-Jun-2026</x:v>
      </x:c>
    </x:row>
    <x:row r="49" ht="52" customHeight="1">
      <x:c r="A49" s="14" t="str">
        <x:v>Today Dashboard</x:v>
      </x:c>
      <x:c r="B49" s="15" t="str">
        <x:v>[Edge] Dismiss the profile reminder with Maybe later</x:v>
      </x:c>
      <x:c r="C49" s="15" t="str">
        <x:v>Blocked by the failed Today meal-add workflow; the reminder could not be triggered.</x:v>
      </x:c>
      <x:c r="D49" s="15" t="str">
        <x:v>Reminder closes and the newly logged food remains saved.</x:v>
      </x:c>
      <x:c r="E49" s="128" t="str">
        <x:v>Blocked</x:v>
      </x:c>
      <x:c r="F49" s="15" t="str">
        <x:v>Trigger reminder &gt; select Maybe later.</x:v>
      </x:c>
      <x:c r="G49" s="20" t="str">
        <x:v>12-Jun-2026</x:v>
      </x:c>
    </x:row>
    <x:row r="50" ht="52" customHeight="1">
      <x:c r="A50" s="14" t="str">
        <x:v>Today Dashboard</x:v>
      </x:c>
      <x:c r="B50" s="15" t="str">
        <x:v>[Positive] Open Complete profile now from the reminder</x:v>
      </x:c>
      <x:c r="C50" s="15" t="str">
        <x:v>Blocked by the failed Today meal-add workflow; the reminder could not be triggered.</x:v>
      </x:c>
      <x:c r="D50" s="15" t="str">
        <x:v>Reminder closes and Profile opens.</x:v>
      </x:c>
      <x:c r="E50" s="128" t="str">
        <x:v>Blocked</x:v>
      </x:c>
      <x:c r="F50" s="15" t="str">
        <x:v>Trigger reminder &gt; select Complete profile now.</x:v>
      </x:c>
      <x:c r="G50" s="20" t="str">
        <x:v>12-Jun-2026</x:v>
      </x:c>
    </x:row>
    <x:row r="51" ht="52" customHeight="1">
      <x:c r="A51" s="14" t="str">
        <x:v>Today Dashboard</x:v>
      </x:c>
      <x:c r="B51" s="15" t="str">
        <x:v>[Positive] Open Coach from the suggested next action</x:v>
      </x:c>
      <x:c r="C51" s="15" t="str">
        <x:v>Not executed in this production QA round.</x:v>
      </x:c>
      <x:c r="D51" s="15" t="str">
        <x:v>Coach opens with the recommendation question prefilled from current macro gaps.</x:v>
      </x:c>
      <x:c r="E51" s="127" t="str">
        <x:v>Not Tested</x:v>
      </x:c>
      <x:c r="F51" s="15" t="str">
        <x:v>Create a macro gap on Today &gt; select Find options or Ask coach.</x:v>
      </x:c>
      <x:c r="G51" s="20" t="str">
        <x:v>12-Jun-2026</x:v>
      </x:c>
    </x:row>
    <x:row r="52" ht="52" customHeight="1">
      <x:c r="A52" s="14" t="str">
        <x:v>Today Dashboard</x:v>
      </x:c>
      <x:c r="B52" s="15" t="str">
        <x:v>[Edge] Dashboard totals exceed a target</x:v>
      </x:c>
      <x:c r="C52" s="15" t="str">
        <x:v>Not executed in this production QA round.</x:v>
      </x:c>
      <x:c r="D52" s="15" t="str">
        <x:v>Progress remains readable, over-target messaging appears, and values do not cap incorrectly.</x:v>
      </x:c>
      <x:c r="E52" s="127" t="str">
        <x:v>Not Tested</x:v>
      </x:c>
      <x:c r="F52" s="15" t="str">
        <x:v>Log enough food to exceed calories or carbs &gt; inspect summary.</x:v>
      </x:c>
      <x:c r="G52" s="20" t="str">
        <x:v>12-Jun-2026</x:v>
      </x:c>
    </x:row>
    <x:row r="53" ht="52" customHeight="1">
      <x:c r="A53" s="14" t="str">
        <x:v>Today Dashboard</x:v>
      </x:c>
      <x:c r="B53" s="15" t="str">
        <x:v>[Data Integrity] Saved goal targets appear on Today</x:v>
      </x:c>
      <x:c r="C53" s="15" t="str">
        <x:v>Production: Goals saved 2300 kcal / 145g protein / 110g carbs, but Today still showed 1700 / 110g / 150g.</x:v>
      </x:c>
      <x:c r="D53" s="15" t="str">
        <x:v>Today uses the latest saved calories, protein, fibre, and carbs targets.</x:v>
      </x:c>
      <x:c r="E53" s="129" t="str">
        <x:v>Fail</x:v>
      </x:c>
      <x:c r="F53" s="15" t="str">
        <x:v>Save a goal plan &gt; return to Today &gt; compare all targets.</x:v>
      </x:c>
      <x:c r="G53" s="20" t="str">
        <x:v>12-Jun-2026</x:v>
      </x:c>
    </x:row>
    <x:row r="54" ht="52" customHeight="1">
      <x:c r="A54" s="14" t="str">
        <x:v>Copy Yesterday</x:v>
      </x:c>
      <x:c r="B54" s="15" t="str">
        <x:v>[Positive] Open Copy yesterday when yesterday has logs</x:v>
      </x:c>
      <x:c r="C54" s="15" t="str">
        <x:v>Not executed in this production QA round.</x:v>
      </x:c>
      <x:c r="D54" s="15" t="str">
        <x:v>Review dialog lists yesterday's meals and items.</x:v>
      </x:c>
      <x:c r="E54" s="127" t="str">
        <x:v>Not Tested</x:v>
      </x:c>
      <x:c r="F54" s="15" t="str">
        <x:v>Create yesterday logs &gt; return to Today &gt; select Copy yesterday.</x:v>
      </x:c>
      <x:c r="G54" s="20" t="str">
        <x:v>12-Jun-2026</x:v>
      </x:c>
    </x:row>
    <x:row r="55" ht="52" customHeight="1">
      <x:c r="A55" s="14" t="str">
        <x:v>Copy Yesterday</x:v>
      </x:c>
      <x:c r="B55" s="15" t="str">
        <x:v>[Positive] Change an item's destination meal before copying</x:v>
      </x:c>
      <x:c r="C55" s="15" t="str">
        <x:v>Not executed in this production QA round.</x:v>
      </x:c>
      <x:c r="D55" s="15" t="str">
        <x:v>Each selected item can be assigned to Breakfast, Lunch, Dinner, or Snack.</x:v>
      </x:c>
      <x:c r="E55" s="127" t="str">
        <x:v>Not Tested</x:v>
      </x:c>
      <x:c r="F55" s="15" t="str">
        <x:v>Open Copy yesterday &gt; change a Dinner item destination to Lunch.</x:v>
      </x:c>
      <x:c r="G55" s="20" t="str">
        <x:v>12-Jun-2026</x:v>
      </x:c>
    </x:row>
    <x:row r="56" ht="52" customHeight="1">
      <x:c r="A56" s="14" t="str">
        <x:v>Copy Yesterday</x:v>
      </x:c>
      <x:c r="B56" s="15" t="str">
        <x:v>[Positive] Copy only selected food items</x:v>
      </x:c>
      <x:c r="C56" s="15" t="str">
        <x:v>Not executed in this production QA round.</x:v>
      </x:c>
      <x:c r="D56" s="15" t="str">
        <x:v>Only checked items are copied and unselected items remain absent.</x:v>
      </x:c>
      <x:c r="E56" s="127" t="str">
        <x:v>Not Tested</x:v>
      </x:c>
      <x:c r="F56" s="15" t="str">
        <x:v>Open review &gt; clear/select individual items &gt; confirm copy.</x:v>
      </x:c>
      <x:c r="G56" s="20" t="str">
        <x:v>12-Jun-2026</x:v>
      </x:c>
    </x:row>
    <x:row r="57" ht="52" customHeight="1">
      <x:c r="A57" s="14" t="str">
        <x:v>Copy Yesterday</x:v>
      </x:c>
      <x:c r="B57" s="15" t="str">
        <x:v>[Negative] Confirm copy with no selected items</x:v>
      </x:c>
      <x:c r="C57" s="15" t="str">
        <x:v>Not executed in this production QA round.</x:v>
      </x:c>
      <x:c r="D57" s="15" t="str">
        <x:v>Confirm action is disabled or a clear validation message is shown.</x:v>
      </x:c>
      <x:c r="E57" s="127" t="str">
        <x:v>Not Tested</x:v>
      </x:c>
      <x:c r="F57" s="15" t="str">
        <x:v>Open review &gt; Clear &gt; attempt confirm.</x:v>
      </x:c>
      <x:c r="G57" s="20" t="str">
        <x:v>12-Jun-2026</x:v>
      </x:c>
    </x:row>
    <x:row r="58" ht="52" customHeight="1">
      <x:c r="A58" s="14" t="str">
        <x:v>Copy Yesterday</x:v>
      </x:c>
      <x:c r="B58" s="15" t="str">
        <x:v>[Edge] Copy when yesterday has no meals</x:v>
      </x:c>
      <x:c r="C58" s="15" t="str">
        <x:v>Not executed in this production QA round.</x:v>
      </x:c>
      <x:c r="D58" s="15" t="str">
        <x:v>A clear no-meals message is shown and no duplicate data is created.</x:v>
      </x:c>
      <x:c r="E58" s="127" t="str">
        <x:v>Not Tested</x:v>
      </x:c>
      <x:c r="F58" s="15" t="str">
        <x:v>Use an account with no previous-day logs &gt; select Copy yesterday.</x:v>
      </x:c>
      <x:c r="G58" s="20" t="str">
        <x:v>12-Jun-2026</x:v>
      </x:c>
    </x:row>
    <x:row r="59" ht="52" customHeight="1">
      <x:c r="A59" s="14" t="str">
        <x:v>Copy Yesterday</x:v>
      </x:c>
      <x:c r="B59" s="15" t="str">
        <x:v>[Edge] Attempt to copy the same items twice</x:v>
      </x:c>
      <x:c r="C59" s="15" t="str">
        <x:v>Not executed in this production QA round.</x:v>
      </x:c>
      <x:c r="D59" s="15" t="str">
        <x:v>App warns about duplicates or performs the documented behavior consistently.</x:v>
      </x:c>
      <x:c r="E59" s="127" t="str">
        <x:v>Not Tested</x:v>
      </x:c>
      <x:c r="F59" s="15" t="str">
        <x:v>Copy yesterday once &gt; open Copy yesterday again &gt; copy the same item.</x:v>
      </x:c>
      <x:c r="G59" s="20" t="str">
        <x:v>12-Jun-2026</x:v>
      </x:c>
    </x:row>
    <x:row r="60" ht="52" customHeight="1">
      <x:c r="A60" s="14" t="str">
        <x:v>Add Food - Manual</x:v>
      </x:c>
      <x:c r="B60" s="15" t="str">
        <x:v>[Positive] Save a manually entered food with complete nutrition</x:v>
      </x:c>
      <x:c r="C60" s="15" t="str">
        <x:v>Automated backend CRUD/integration coverage passed, but this complete browser/UI scenario was not executed.</x:v>
      </x:c>
      <x:c r="D60" s="15" t="str">
        <x:v>Food is saved once, confirmation appears, and form values clear.</x:v>
      </x:c>
      <x:c r="E60" s="127" t="str">
        <x:v>Not Tested</x:v>
      </x:c>
      <x:c r="F60" s="15" t="str">
        <x:v>Open Add Food &gt; Manual add &gt; enter name and all nutrition fields &gt; Save.</x:v>
      </x:c>
      <x:c r="G60" s="20" t="str">
        <x:v>12-Jun-2026</x:v>
      </x:c>
    </x:row>
    <x:row r="61" ht="52" customHeight="1">
      <x:c r="A61" s="14" t="str">
        <x:v>Add Food - Manual</x:v>
      </x:c>
      <x:c r="B61" s="15" t="str">
        <x:v>[Negative] Save manual food with name only</x:v>
      </x:c>
      <x:c r="C61" s="15" t="str">
        <x:v>Not executed in this production QA round.</x:v>
      </x:c>
      <x:c r="D61" s="15" t="str">
        <x:v>Save is blocked with guidance to add nutrition or use AI estimate.</x:v>
      </x:c>
      <x:c r="E61" s="127" t="str">
        <x:v>Not Tested</x:v>
      </x:c>
      <x:c r="F61" s="15" t="str">
        <x:v>Manual add &gt; enter only food name &gt; Save.</x:v>
      </x:c>
      <x:c r="G61" s="20" t="str">
        <x:v>12-Jun-2026</x:v>
      </x:c>
    </x:row>
    <x:row r="62" ht="52" customHeight="1">
      <x:c r="A62" s="14" t="str">
        <x:v>Add Food - Manual</x:v>
      </x:c>
      <x:c r="B62" s="15" t="str">
        <x:v>[Negative] Save manual food without a name</x:v>
      </x:c>
      <x:c r="C62" s="15" t="str">
        <x:v>Not executed in this production QA round.</x:v>
      </x:c>
      <x:c r="D62" s="15" t="str">
        <x:v>Save is blocked with Food name is required.</x:v>
      </x:c>
      <x:c r="E62" s="127" t="str">
        <x:v>Not Tested</x:v>
      </x:c>
      <x:c r="F62" s="15" t="str">
        <x:v>Manual add &gt; fill nutrition but leave name empty &gt; Save.</x:v>
      </x:c>
      <x:c r="G62" s="20" t="str">
        <x:v>12-Jun-2026</x:v>
      </x:c>
    </x:row>
    <x:row r="63" ht="52" customHeight="1">
      <x:c r="A63" s="14" t="str">
        <x:v>Add Food - Manual</x:v>
      </x:c>
      <x:c r="B63" s="15" t="str">
        <x:v>[Boundary] Save nutrition values equal to zero</x:v>
      </x:c>
      <x:c r="C63" s="15" t="str">
        <x:v>Not executed in this production QA round.</x:v>
      </x:c>
      <x:c r="D63" s="15" t="str">
        <x:v>Zero is accepted where nutritionally valid and values persist as zero.</x:v>
      </x:c>
      <x:c r="E63" s="127" t="str">
        <x:v>Not Tested</x:v>
      </x:c>
      <x:c r="F63" s="15" t="str">
        <x:v>Enter complete food with one or more valid zero nutrient values &gt; Save.</x:v>
      </x:c>
      <x:c r="G63" s="20" t="str">
        <x:v>12-Jun-2026</x:v>
      </x:c>
    </x:row>
    <x:row r="64" ht="52" customHeight="1">
      <x:c r="A64" s="14" t="str">
        <x:v>Add Food - Manual</x:v>
      </x:c>
      <x:c r="B64" s="15" t="str">
        <x:v>[Negative] Enter negative nutrition values</x:v>
      </x:c>
      <x:c r="C64" s="15" t="str">
        <x:v>Not executed in this production QA round.</x:v>
      </x:c>
      <x:c r="D64" s="15" t="str">
        <x:v>Validation rejects negative calories or macros.</x:v>
      </x:c>
      <x:c r="E64" s="127" t="str">
        <x:v>Not Tested</x:v>
      </x:c>
      <x:c r="F64" s="15" t="str">
        <x:v>Enter a negative value in each nutrition field &gt; Save.</x:v>
      </x:c>
      <x:c r="G64" s="20" t="str">
        <x:v>12-Jun-2026</x:v>
      </x:c>
    </x:row>
    <x:row r="65" ht="52" customHeight="1">
      <x:c r="A65" s="14" t="str">
        <x:v>Add Food - Manual</x:v>
      </x:c>
      <x:c r="B65" s="15" t="str">
        <x:v>[Edge] Enter decimal nutrition values</x:v>
      </x:c>
      <x:c r="C65" s="15" t="str">
        <x:v>Not executed in this production QA round.</x:v>
      </x:c>
      <x:c r="D65" s="15" t="str">
        <x:v>Decimals save and display without unwanted rounding or precision errors.</x:v>
      </x:c>
      <x:c r="E65" s="127" t="str">
        <x:v>Not Tested</x:v>
      </x:c>
      <x:c r="F65" s="15" t="str">
        <x:v>Enter decimal calories/macros &gt; Save &gt; inspect Library.</x:v>
      </x:c>
      <x:c r="G65" s="20" t="str">
        <x:v>12-Jun-2026</x:v>
      </x:c>
    </x:row>
    <x:row r="66" ht="52" customHeight="1">
      <x:c r="A66" s="14" t="str">
        <x:v>Add Food - Manual</x:v>
      </x:c>
      <x:c r="B66" s="15" t="str">
        <x:v>[Edge] Enter a duplicate manual food name</x:v>
      </x:c>
      <x:c r="C66" s="15" t="str">
        <x:v>Automated backend CRUD/integration coverage passed, but this complete browser/UI scenario was not executed.</x:v>
      </x:c>
      <x:c r="D66" s="15" t="str">
        <x:v>Duplicate is prevented or clearly identified without creating a second record.</x:v>
      </x:c>
      <x:c r="E66" s="127" t="str">
        <x:v>Not Tested</x:v>
      </x:c>
      <x:c r="F66" s="15" t="str">
        <x:v>Save a food &gt; repeat with the same normalized name.</x:v>
      </x:c>
      <x:c r="G66" s="20" t="str">
        <x:v>12-Jun-2026</x:v>
      </x:c>
    </x:row>
    <x:row r="67" ht="52" customHeight="1">
      <x:c r="A67" s="14" t="str">
        <x:v>Add Food - AI Estimate</x:v>
      </x:c>
      <x:c r="B67" s="15" t="str">
        <x:v>[Positive] Estimate nutrition using food name</x:v>
      </x:c>
      <x:c r="C67" s="15" t="str">
        <x:v>Not executed in this production QA round.</x:v>
      </x:c>
      <x:c r="D67" s="15" t="str">
        <x:v>Estimated serving and complete nutrition are shown for review.</x:v>
      </x:c>
      <x:c r="E67" s="127" t="str">
        <x:v>Not Tested</x:v>
      </x:c>
      <x:c r="F67" s="15" t="str">
        <x:v>Open AI estimate &gt; enter a recognizable food and portion hint &gt; Extract nutrition.</x:v>
      </x:c>
      <x:c r="G67" s="20" t="str">
        <x:v>12-Jun-2026</x:v>
      </x:c>
    </x:row>
    <x:row r="68" ht="52" customHeight="1">
      <x:c r="A68" s="14" t="str">
        <x:v>Add Food - AI Estimate</x:v>
      </x:c>
      <x:c r="B68" s="15" t="str">
        <x:v>[Negative] Estimate with an empty food name</x:v>
      </x:c>
      <x:c r="C68" s="15" t="str">
        <x:v>Not executed in this production QA round.</x:v>
      </x:c>
      <x:c r="D68" s="15" t="str">
        <x:v>Request is blocked with Enter a food name first.</x:v>
      </x:c>
      <x:c r="E68" s="127" t="str">
        <x:v>Not Tested</x:v>
      </x:c>
      <x:c r="F68" s="15" t="str">
        <x:v>Open AI estimate &gt; leave name empty &gt; Extract nutrition.</x:v>
      </x:c>
      <x:c r="G68" s="20" t="str">
        <x:v>12-Jun-2026</x:v>
      </x:c>
    </x:row>
    <x:row r="69" ht="52" customHeight="1">
      <x:c r="A69" s="14" t="str">
        <x:v>Add Food - AI Estimate</x:v>
      </x:c>
      <x:c r="B69" s="15" t="str">
        <x:v>[Edge] Estimate an uncommon or misspelled food</x:v>
      </x:c>
      <x:c r="C69" s="15" t="str">
        <x:v>Not executed in this production QA round.</x:v>
      </x:c>
      <x:c r="D69" s="15" t="str">
        <x:v>App returns a cautious estimate or clear failure without fabricating certainty.</x:v>
      </x:c>
      <x:c r="E69" s="127" t="str">
        <x:v>Not Tested</x:v>
      </x:c>
      <x:c r="F69" s="15" t="str">
        <x:v>Enter an uncommon/misspelled food &gt; Extract nutrition.</x:v>
      </x:c>
      <x:c r="G69" s="20" t="str">
        <x:v>12-Jun-2026</x:v>
      </x:c>
    </x:row>
    <x:row r="70" ht="52" customHeight="1">
      <x:c r="A70" s="14" t="str">
        <x:v>Add Food - AI Estimate</x:v>
      </x:c>
      <x:c r="B70" s="15" t="str">
        <x:v>[Positive] Edit estimated values before saving</x:v>
      </x:c>
      <x:c r="C70" s="15" t="str">
        <x:v>Not executed in this production QA round.</x:v>
      </x:c>
      <x:c r="D70" s="15" t="str">
        <x:v>Manual edit opens with the estimated values populated.</x:v>
      </x:c>
      <x:c r="E70" s="127" t="str">
        <x:v>Not Tested</x:v>
      </x:c>
      <x:c r="F70" s="15" t="str">
        <x:v>Generate estimate &gt; select Edit values &gt; change values.</x:v>
      </x:c>
      <x:c r="G70" s="20" t="str">
        <x:v>12-Jun-2026</x:v>
      </x:c>
    </x:row>
    <x:row r="71" ht="52" customHeight="1">
      <x:c r="A71" s="14" t="str">
        <x:v>Add Food - AI Estimate</x:v>
      </x:c>
      <x:c r="B71" s="15" t="str">
        <x:v>[Positive] Save estimated food</x:v>
      </x:c>
      <x:c r="C71" s="15" t="str">
        <x:v>Not executed in this production QA round.</x:v>
      </x:c>
      <x:c r="D71" s="15" t="str">
        <x:v>Food saves once, the form clears, and the estimate button resets.</x:v>
      </x:c>
      <x:c r="E71" s="127" t="str">
        <x:v>Not Tested</x:v>
      </x:c>
      <x:c r="F71" s="15" t="str">
        <x:v>Generate estimate &gt; review &gt; Save to library.</x:v>
      </x:c>
      <x:c r="G71" s="20" t="str">
        <x:v>12-Jun-2026</x:v>
      </x:c>
    </x:row>
    <x:row r="72" ht="52" customHeight="1">
      <x:c r="A72" s="14" t="str">
        <x:v>Add Food - AI Estimate</x:v>
      </x:c>
      <x:c r="B72" s="15" t="str">
        <x:v>[Negative] Save an estimated duplicate food</x:v>
      </x:c>
      <x:c r="C72" s="15" t="str">
        <x:v>Not executed in this production QA round.</x:v>
      </x:c>
      <x:c r="D72" s="15" t="str">
        <x:v>Only the duplicate message is shown and no duplicate row is created.</x:v>
      </x:c>
      <x:c r="E72" s="127" t="str">
        <x:v>Not Tested</x:v>
      </x:c>
      <x:c r="F72" s="15" t="str">
        <x:v>Estimate a food already in Library &gt; Save.</x:v>
      </x:c>
      <x:c r="G72" s="20" t="str">
        <x:v>12-Jun-2026</x:v>
      </x:c>
    </x:row>
    <x:row r="73" ht="52" customHeight="1">
      <x:c r="A73" s="14" t="str">
        <x:v>Barcode</x:v>
      </x:c>
      <x:c r="B73" s="15" t="str">
        <x:v>[Positive] Look up a valid supported barcode</x:v>
      </x:c>
      <x:c r="C73" s="15" t="str">
        <x:v>Production: barcode 3017620422003 returned Nutella with serving and nutrition values.</x:v>
      </x:c>
      <x:c r="D73" s="15" t="str">
        <x:v>Product name, serving, and nutrition values are displayed.</x:v>
      </x:c>
      <x:c r="E73" s="126" t="str">
        <x:v>Pass</x:v>
      </x:c>
      <x:c r="F73" s="15" t="str">
        <x:v>Open Add Food &gt; Barcode &gt; enter 3017620422003 &gt; Look up.</x:v>
      </x:c>
      <x:c r="G73" s="20" t="str">
        <x:v>12-Jun-2026</x:v>
      </x:c>
    </x:row>
    <x:row r="74" ht="52" customHeight="1">
      <x:c r="A74" s="14" t="str">
        <x:v>Barcode</x:v>
      </x:c>
      <x:c r="B74" s="15" t="str">
        <x:v>[Negative] Look up an empty barcode</x:v>
      </x:c>
      <x:c r="C74" s="15" t="str">
        <x:v>Not executed in this production QA round.</x:v>
      </x:c>
      <x:c r="D74" s="15" t="str">
        <x:v>No request is sent or a clear barcode-required validation appears.</x:v>
      </x:c>
      <x:c r="E74" s="127" t="str">
        <x:v>Not Tested</x:v>
      </x:c>
      <x:c r="F74" s="15" t="str">
        <x:v>Leave Barcode number empty &gt; Look up.</x:v>
      </x:c>
      <x:c r="G74" s="20" t="str">
        <x:v>12-Jun-2026</x:v>
      </x:c>
    </x:row>
    <x:row r="75" ht="52" customHeight="1">
      <x:c r="A75" s="14" t="str">
        <x:v>Barcode</x:v>
      </x:c>
      <x:c r="B75" s="15" t="str">
        <x:v>[Negative] Look up an invalid or unknown barcode</x:v>
      </x:c>
      <x:c r="C75" s="15" t="str">
        <x:v>Not executed in this production QA round.</x:v>
      </x:c>
      <x:c r="D75" s="15" t="str">
        <x:v>Product-not-found message appears without stale product data.</x:v>
      </x:c>
      <x:c r="E75" s="127" t="str">
        <x:v>Not Tested</x:v>
      </x:c>
      <x:c r="F75" s="15" t="str">
        <x:v>Enter an invalid numeric barcode &gt; Look up.</x:v>
      </x:c>
      <x:c r="G75" s="20" t="str">
        <x:v>12-Jun-2026</x:v>
      </x:c>
    </x:row>
    <x:row r="76" ht="52" customHeight="1">
      <x:c r="A76" s="14" t="str">
        <x:v>Barcode</x:v>
      </x:c>
      <x:c r="B76" s="15" t="str">
        <x:v>[Edge] Paste barcode containing spaces or non-digits</x:v>
      </x:c>
      <x:c r="C76" s="15" t="str">
        <x:v>Not executed in this production QA round.</x:v>
      </x:c>
      <x:c r="D76" s="15" t="str">
        <x:v>Input is normalized to digits or rejected clearly.</x:v>
      </x:c>
      <x:c r="E76" s="127" t="str">
        <x:v>Not Tested</x:v>
      </x:c>
      <x:c r="F76" s="15" t="str">
        <x:v>Paste a formatted barcode string &gt; Look up.</x:v>
      </x:c>
      <x:c r="G76" s="20" t="str">
        <x:v>12-Jun-2026</x:v>
      </x:c>
    </x:row>
    <x:row r="77" ht="52" customHeight="1">
      <x:c r="A77" s="14" t="str">
        <x:v>Barcode</x:v>
      </x:c>
      <x:c r="B77" s="15" t="str">
        <x:v>[Positive] Review and edit barcode nutrition before saving</x:v>
      </x:c>
      <x:c r="C77" s="15" t="str">
        <x:v>Production: barcode result offered only Save to library; no Edit values action was available.</x:v>
      </x:c>
      <x:c r="D77" s="15" t="str">
        <x:v>An Edit values action is available before Save to library.</x:v>
      </x:c>
      <x:c r="E77" s="129" t="str">
        <x:v>Fail</x:v>
      </x:c>
      <x:c r="F77" s="15" t="str">
        <x:v>Look up a valid barcode &gt; inspect product actions.</x:v>
      </x:c>
      <x:c r="G77" s="20" t="str">
        <x:v>12-Jun-2026</x:v>
      </x:c>
    </x:row>
    <x:row r="78" ht="52" customHeight="1">
      <x:c r="A78" s="14" t="str">
        <x:v>Barcode</x:v>
      </x:c>
      <x:c r="B78" s="15" t="str">
        <x:v>[Positive] Save a new barcode product</x:v>
      </x:c>
      <x:c r="C78" s="15" t="str">
        <x:v>Production: a new barcode product saved once, showed confirmation, and cleared the barcode/result fields.</x:v>
      </x:c>
      <x:c r="D78" s="15" t="str">
        <x:v>One food is created, success appears, and barcode/result fields clear.</x:v>
      </x:c>
      <x:c r="E78" s="126" t="str">
        <x:v>Pass</x:v>
      </x:c>
      <x:c r="F78" s="15" t="str">
        <x:v>Look up a new barcode &gt; Save to library.</x:v>
      </x:c>
      <x:c r="G78" s="20" t="str">
        <x:v>12-Jun-2026</x:v>
      </x:c>
    </x:row>
    <x:row r="79" ht="52" customHeight="1">
      <x:c r="A79" s="14" t="str">
        <x:v>Barcode</x:v>
      </x:c>
      <x:c r="B79" s="15" t="str">
        <x:v>[Negative] Save a barcode product already in Library</x:v>
      </x:c>
      <x:c r="C79" s="15" t="str">
        <x:v>Production duplicate save displayed both 'Saved to library!' and 'This food is already in your library'.</x:v>
      </x:c>
      <x:c r="D79" s="15" t="str">
        <x:v>Only the duplicate message appears; the previous success message is cleared.</x:v>
      </x:c>
      <x:c r="E79" s="129" t="str">
        <x:v>Fail</x:v>
      </x:c>
      <x:c r="F79" s="15" t="str">
        <x:v>Save a barcode product &gt; look up the same barcode &gt; Save again.</x:v>
      </x:c>
      <x:c r="G79" s="20" t="str">
        <x:v>12-Jun-2026</x:v>
      </x:c>
    </x:row>
    <x:row r="80" ht="52" customHeight="1">
      <x:c r="A80" s="14" t="str">
        <x:v>Barcode</x:v>
      </x:c>
      <x:c r="B80" s="15" t="str">
        <x:v>[Boundary] Use the final free barcode lookup</x:v>
      </x:c>
      <x:c r="C80" s="15" t="str">
        <x:v>Blocked: production barcode quota was not moved to 9/10.</x:v>
      </x:c>
      <x:c r="D80" s="15" t="str">
        <x:v>Lookup succeeds and usage counter increments exactly once on success.</x:v>
      </x:c>
      <x:c r="E80" s="128" t="str">
        <x:v>Blocked</x:v>
      </x:c>
      <x:c r="F80" s="15" t="str">
        <x:v>Set free counter to 9/10 &gt; perform one successful lookup.</x:v>
      </x:c>
      <x:c r="G80" s="20" t="str">
        <x:v>12-Jun-2026</x:v>
      </x:c>
    </x:row>
    <x:row r="81" ht="52" customHeight="1">
      <x:c r="A81" s="14" t="str">
        <x:v>Barcode</x:v>
      </x:c>
      <x:c r="B81" s="15" t="str">
        <x:v>[Edge] Scan barcode photo in a browser without BarcodeDetector</x:v>
      </x:c>
      <x:c r="C81" s="15" t="str">
        <x:v>Blocked: an unsupported BarcodeDetector browser and barcode image were not available.</x:v>
      </x:c>
      <x:c r="D81" s="15" t="str">
        <x:v>Fallback message instructs the user to type the barcode.</x:v>
      </x:c>
      <x:c r="E81" s="128" t="str">
        <x:v>Blocked</x:v>
      </x:c>
      <x:c r="F81" s="15" t="str">
        <x:v>Use an unsupported browser &gt; select Scan photo &gt; choose barcode image.</x:v>
      </x:c>
      <x:c r="G81" s="20" t="str">
        <x:v>12-Jun-2026</x:v>
      </x:c>
    </x:row>
    <x:row r="82" ht="52" customHeight="1">
      <x:c r="A82" s="14" t="str">
        <x:v>Label Scanner</x:v>
      </x:c>
      <x:c r="B82" s="15" t="str">
        <x:v>[Positive] Upload a clear nutrition label image</x:v>
      </x:c>
      <x:c r="C82" s="15" t="str">
        <x:v>Blocked: no approved nutrition-label image was supplied for production upload.</x:v>
      </x:c>
      <x:c r="D82" s="15" t="str">
        <x:v>Image is read and extracted values are displayed.</x:v>
      </x:c>
      <x:c r="E82" s="128" t="str">
        <x:v>Blocked</x:v>
      </x:c>
      <x:c r="F82" s="15" t="str">
        <x:v>Open Add Food &gt; Label &gt; Choose photo &gt; select a clear label image.</x:v>
      </x:c>
      <x:c r="G82" s="20" t="str">
        <x:v>12-Jun-2026</x:v>
      </x:c>
    </x:row>
    <x:row r="83" ht="52" customHeight="1">
      <x:c r="A83" s="14" t="str">
        <x:v>Label Scanner</x:v>
      </x:c>
      <x:c r="B83" s="15" t="str">
        <x:v>[Positive] Take a nutrition label photo on mobile</x:v>
      </x:c>
      <x:c r="C83" s="15" t="str">
        <x:v>Blocked: physical mobile camera access was unavailable.</x:v>
      </x:c>
      <x:c r="D83" s="15" t="str">
        <x:v>Camera input opens and the captured label is processed.</x:v>
      </x:c>
      <x:c r="E83" s="128" t="str">
        <x:v>Blocked</x:v>
      </x:c>
      <x:c r="F83" s="15" t="str">
        <x:v>Open Label on a phone &gt; Take photo &gt; capture a clear label.</x:v>
      </x:c>
      <x:c r="G83" s="20" t="str">
        <x:v>12-Jun-2026</x:v>
      </x:c>
    </x:row>
    <x:row r="84" ht="52" customHeight="1">
      <x:c r="A84" s="14" t="str">
        <x:v>Label Scanner</x:v>
      </x:c>
      <x:c r="B84" s="15" t="str">
        <x:v>[Negative] Upload a non-image file</x:v>
      </x:c>
      <x:c r="C84" s="15" t="str">
        <x:v>Blocked: file upload automation was unavailable in the in-app production browser.</x:v>
      </x:c>
      <x:c r="D84" s="15" t="str">
        <x:v>File is rejected with Please choose a valid image file.</x:v>
      </x:c>
      <x:c r="E84" s="128" t="str">
        <x:v>Blocked</x:v>
      </x:c>
      <x:c r="F84" s="15" t="str">
        <x:v>Choose photo &gt; select a non-image file.</x:v>
      </x:c>
      <x:c r="G84" s="20" t="str">
        <x:v>12-Jun-2026</x:v>
      </x:c>
    </x:row>
    <x:row r="85" ht="52" customHeight="1">
      <x:c r="A85" s="14" t="str">
        <x:v>Label Scanner</x:v>
      </x:c>
      <x:c r="B85" s="15" t="str">
        <x:v>[Negative] Upload a plate or non-label image</x:v>
      </x:c>
      <x:c r="C85" s="15" t="str">
        <x:v>Blocked: no approved non-label image was supplied for production upload.</x:v>
      </x:c>
      <x:c r="D85" s="15" t="str">
        <x:v>App reports that the image is not a nutrition label and does not create a food.</x:v>
      </x:c>
      <x:c r="E85" s="128" t="str">
        <x:v>Blocked</x:v>
      </x:c>
      <x:c r="F85" s="15" t="str">
        <x:v>Choose photo &gt; upload a meal/plate image.</x:v>
      </x:c>
      <x:c r="G85" s="20" t="str">
        <x:v>12-Jun-2026</x:v>
      </x:c>
    </x:row>
    <x:row r="86" ht="52" customHeight="1">
      <x:c r="A86" s="14" t="str">
        <x:v>Label Scanner</x:v>
      </x:c>
      <x:c r="B86" s="15" t="str">
        <x:v>[Edge] Upload a blurry or partially cropped label</x:v>
      </x:c>
      <x:c r="C86" s="15" t="str">
        <x:v>Blocked: no approved blurry/cropped nutrition-label image was supplied.</x:v>
      </x:c>
      <x:c r="D86" s="15" t="str">
        <x:v>Low-confidence/missing fields are identified for review instead of silently saved.</x:v>
      </x:c>
      <x:c r="E86" s="128" t="str">
        <x:v>Blocked</x:v>
      </x:c>
      <x:c r="F86" s="15" t="str">
        <x:v>Upload a blurry or cropped label image.</x:v>
      </x:c>
      <x:c r="G86" s="20" t="str">
        <x:v>12-Jun-2026</x:v>
      </x:c>
    </x:row>
    <x:row r="87" ht="52" customHeight="1">
      <x:c r="A87" s="14" t="str">
        <x:v>Label Scanner</x:v>
      </x:c>
      <x:c r="B87" s="15" t="str">
        <x:v>[Positive] Edit extracted label values before saving</x:v>
      </x:c>
      <x:c r="C87" s="15" t="str">
        <x:v>Blocked: a successful label extraction was required before edit controls could be tested.</x:v>
      </x:c>
      <x:c r="D87" s="15" t="str">
        <x:v>Edit values is available and opens all extracted fields.</x:v>
      </x:c>
      <x:c r="E87" s="128" t="str">
        <x:v>Blocked</x:v>
      </x:c>
      <x:c r="F87" s="15" t="str">
        <x:v>Scan a valid label &gt; inspect extracted nutrition actions.</x:v>
      </x:c>
      <x:c r="G87" s="20" t="str">
        <x:v>12-Jun-2026</x:v>
      </x:c>
    </x:row>
    <x:row r="88" ht="52" customHeight="1">
      <x:c r="A88" s="14" t="str">
        <x:v>Label Scanner</x:v>
      </x:c>
      <x:c r="B88" s="15" t="str">
        <x:v>[Negative] Save a scan where product name was not detected</x:v>
      </x:c>
      <x:c r="C88" s="15" t="str">
        <x:v>Blocked: a successful label extraction was required before missing-name validation could be tested.</x:v>
      </x:c>
      <x:c r="D88" s="15" t="str">
        <x:v>Save is blocked and only Food name is required is shown.</x:v>
      </x:c>
      <x:c r="E88" s="128" t="str">
        <x:v>Blocked</x:v>
      </x:c>
      <x:c r="F88" s="15" t="str">
        <x:v>Scan a label with no product name &gt; Save.</x:v>
      </x:c>
      <x:c r="G88" s="20" t="str">
        <x:v>12-Jun-2026</x:v>
      </x:c>
    </x:row>
    <x:row r="89" ht="52" customHeight="1">
      <x:c r="A89" s="14" t="str">
        <x:v>Label Scanner</x:v>
      </x:c>
      <x:c r="B89" s="15" t="str">
        <x:v>[Negative] Prevent simultaneous success and validation messages</x:v>
      </x:c>
      <x:c r="C89" s="15" t="str">
        <x:v>Blocked: a successful label extraction was required before message-state validation could be tested.</x:v>
      </x:c>
      <x:c r="D89" s="15" t="str">
        <x:v>Only the message matching the current save attempt is visible.</x:v>
      </x:c>
      <x:c r="E89" s="128" t="str">
        <x:v>Blocked</x:v>
      </x:c>
      <x:c r="F89" s="15" t="str">
        <x:v>Complete a save &gt; scan/save an invalid result immediately afterward.</x:v>
      </x:c>
      <x:c r="G89" s="20" t="str">
        <x:v>12-Jun-2026</x:v>
      </x:c>
    </x:row>
    <x:row r="90" ht="52" customHeight="1">
      <x:c r="A90" s="14" t="str">
        <x:v>Label Scanner</x:v>
      </x:c>
      <x:c r="B90" s="15" t="str">
        <x:v>[Positive] Save reviewed label result</x:v>
      </x:c>
      <x:c r="C90" s="15" t="str">
        <x:v>Blocked: a successful label extraction was required before save could be tested.</x:v>
      </x:c>
      <x:c r="D90" s="15" t="str">
        <x:v>Food saves once and image/result/form state clears.</x:v>
      </x:c>
      <x:c r="E90" s="128" t="str">
        <x:v>Blocked</x:v>
      </x:c>
      <x:c r="F90" s="15" t="str">
        <x:v>Scan label &gt; review values &gt; Save to library.</x:v>
      </x:c>
      <x:c r="G90" s="20" t="str">
        <x:v>12-Jun-2026</x:v>
      </x:c>
    </x:row>
    <x:row r="91" ht="52" customHeight="1">
      <x:c r="A91" s="14" t="str">
        <x:v>Label Scanner</x:v>
      </x:c>
      <x:c r="B91" s="15" t="str">
        <x:v>[Boundary] Use final free label scan</x:v>
      </x:c>
      <x:c r="C91" s="15" t="str">
        <x:v>Blocked: production label quota was not moved to its final free scan.</x:v>
      </x:c>
      <x:c r="D91" s="15" t="str">
        <x:v>Final included scan succeeds and counter reaches 5/5.</x:v>
      </x:c>
      <x:c r="E91" s="128" t="str">
        <x:v>Blocked</x:v>
      </x:c>
      <x:c r="F91" s="15" t="str">
        <x:v>Set scan usage to 4/5 &gt; process one valid label.</x:v>
      </x:c>
      <x:c r="G91" s="20" t="str">
        <x:v>12-Jun-2026</x:v>
      </x:c>
    </x:row>
    <x:row r="92" ht="52" customHeight="1">
      <x:c r="A92" s="14" t="str">
        <x:v>Plate Scan</x:v>
      </x:c>
      <x:c r="B92" s="15" t="str">
        <x:v>[Positive] Upload a clear meal photo</x:v>
      </x:c>
      <x:c r="C92" s="15" t="str">
        <x:v>Blocked: no approved meal photo was supplied for production upload.</x:v>
      </x:c>
      <x:c r="D92" s="15" t="str">
        <x:v>Foods and estimated quantities are identified without logging automatically.</x:v>
      </x:c>
      <x:c r="E92" s="128" t="str">
        <x:v>Blocked</x:v>
      </x:c>
      <x:c r="F92" s="15" t="str">
        <x:v>Open Scan &gt; Plate scan &gt; choose a clear meal image &gt; Identify.</x:v>
      </x:c>
      <x:c r="G92" s="20" t="str">
        <x:v>12-Jun-2026</x:v>
      </x:c>
    </x:row>
    <x:row r="93" ht="52" customHeight="1">
      <x:c r="A93" s="14" t="str">
        <x:v>Plate Scan</x:v>
      </x:c>
      <x:c r="B93" s="15" t="str">
        <x:v>[Negative] Upload a nutrition label in Plate scan</x:v>
      </x:c>
      <x:c r="C93" s="15" t="str">
        <x:v>Blocked: no approved nutrition-label image was supplied to Plate Scan.</x:v>
      </x:c>
      <x:c r="D93" s="15" t="str">
        <x:v>App rejects or redirects the image as the wrong scan type.</x:v>
      </x:c>
      <x:c r="E93" s="128" t="str">
        <x:v>Blocked</x:v>
      </x:c>
      <x:c r="F93" s="15" t="str">
        <x:v>Plate scan &gt; upload a nutrition facts image.</x:v>
      </x:c>
      <x:c r="G93" s="20" t="str">
        <x:v>12-Jun-2026</x:v>
      </x:c>
    </x:row>
    <x:row r="94" ht="52" customHeight="1">
      <x:c r="A94" s="14" t="str">
        <x:v>Plate Scan</x:v>
      </x:c>
      <x:c r="B94" s="15" t="str">
        <x:v>[Negative] Upload a non-image or corrupted file</x:v>
      </x:c>
      <x:c r="C94" s="15" t="str">
        <x:v>Blocked: file upload automation was unavailable in the in-app production browser.</x:v>
      </x:c>
      <x:c r="D94" s="15" t="str">
        <x:v>Upload is rejected and the page remains usable.</x:v>
      </x:c>
      <x:c r="E94" s="128" t="str">
        <x:v>Blocked</x:v>
      </x:c>
      <x:c r="F94" s="15" t="str">
        <x:v>Choose an unsupported/corrupt file.</x:v>
      </x:c>
      <x:c r="G94" s="20" t="str">
        <x:v>12-Jun-2026</x:v>
      </x:c>
    </x:row>
    <x:row r="95" ht="52" customHeight="1">
      <x:c r="A95" s="14" t="str">
        <x:v>Plate Scan</x:v>
      </x:c>
      <x:c r="B95" s="15" t="str">
        <x:v>[Edge] Scan a plate containing many foods</x:v>
      </x:c>
      <x:c r="C95" s="15" t="str">
        <x:v>Blocked: no approved many-food plate image was supplied.</x:v>
      </x:c>
      <x:c r="D95" s="15" t="str">
        <x:v>Response remains readable and all supported items are listed without parser failure.</x:v>
      </x:c>
      <x:c r="E95" s="128" t="str">
        <x:v>Blocked</x:v>
      </x:c>
      <x:c r="F95" s="15" t="str">
        <x:v>Upload a complex plate containing 8-10 visible foods.</x:v>
      </x:c>
      <x:c r="G95" s="20" t="str">
        <x:v>12-Jun-2026</x:v>
      </x:c>
    </x:row>
    <x:row r="96" ht="52" customHeight="1">
      <x:c r="A96" s="14" t="str">
        <x:v>Plate Scan</x:v>
      </x:c>
      <x:c r="B96" s="15" t="str">
        <x:v>[Edge] Scan an unfamiliar food not present in Library</x:v>
      </x:c>
      <x:c r="C96" s="15" t="str">
        <x:v>Blocked: no approved unfamiliar-food plate image was supplied.</x:v>
      </x:c>
      <x:c r="D96" s="15" t="str">
        <x:v>Food remains editable and receives an estimate or clear unmatched status.</x:v>
      </x:c>
      <x:c r="E96" s="128" t="str">
        <x:v>Blocked</x:v>
      </x:c>
      <x:c r="F96" s="15" t="str">
        <x:v>Upload a plate containing an uncommon food.</x:v>
      </x:c>
      <x:c r="G96" s="20" t="str">
        <x:v>12-Jun-2026</x:v>
      </x:c>
    </x:row>
    <x:row r="97" ht="52" customHeight="1">
      <x:c r="A97" s="14" t="str">
        <x:v>Plate Scan</x:v>
      </x:c>
      <x:c r="B97" s="15" t="str">
        <x:v>[Positive] Edit detected food name</x:v>
      </x:c>
      <x:c r="C97" s="15" t="str">
        <x:v>Blocked: a successful Plate Scan result was required before editing the food name.</x:v>
      </x:c>
      <x:c r="D97" s="15" t="str">
        <x:v>Nutrition is recalculated or clearly marked for re-estimation.</x:v>
      </x:c>
      <x:c r="E97" s="128" t="str">
        <x:v>Blocked</x:v>
      </x:c>
      <x:c r="F97" s="15" t="str">
        <x:v>Identify plate &gt; edit a detected food name.</x:v>
      </x:c>
      <x:c r="G97" s="20" t="str">
        <x:v>12-Jun-2026</x:v>
      </x:c>
    </x:row>
    <x:row r="98" ht="52" customHeight="1">
      <x:c r="A98" s="14" t="str">
        <x:v>Plate Scan</x:v>
      </x:c>
      <x:c r="B98" s="15" t="str">
        <x:v>[Positive] Edit detected quantity</x:v>
      </x:c>
      <x:c r="C98" s="15" t="str">
        <x:v>Blocked: a successful Plate Scan result was required before editing quantity.</x:v>
      </x:c>
      <x:c r="D98" s="15" t="str">
        <x:v>Calories and macros update for the edited quantity.</x:v>
      </x:c>
      <x:c r="E98" s="128" t="str">
        <x:v>Blocked</x:v>
      </x:c>
      <x:c r="F98" s="15" t="str">
        <x:v>Identify plate &gt; change quantity/unit for one detected item.</x:v>
      </x:c>
      <x:c r="G98" s="20" t="str">
        <x:v>12-Jun-2026</x:v>
      </x:c>
    </x:row>
    <x:row r="99" ht="52" customHeight="1">
      <x:c r="A99" s="14" t="str">
        <x:v>Plate Scan</x:v>
      </x:c>
      <x:c r="B99" s="15" t="str">
        <x:v>[Positive] Remove an incorrect detected food</x:v>
      </x:c>
      <x:c r="C99" s="15" t="str">
        <x:v>Blocked: a successful Plate Scan result was required before removing a detected food.</x:v>
      </x:c>
      <x:c r="D99" s="15" t="str">
        <x:v>Removed item is excluded from saved meal totals.</x:v>
      </x:c>
      <x:c r="E99" s="128" t="str">
        <x:v>Blocked</x:v>
      </x:c>
      <x:c r="F99" s="15" t="str">
        <x:v>Identify plate &gt; remove one food &gt; save.</x:v>
      </x:c>
      <x:c r="G99" s="20" t="str">
        <x:v>12-Jun-2026</x:v>
      </x:c>
    </x:row>
    <x:row r="100" ht="52" customHeight="1">
      <x:c r="A100" s="14" t="str">
        <x:v>Plate Scan</x:v>
      </x:c>
      <x:c r="B100" s="15" t="str">
        <x:v>[Positive] Choose meal destination and save identified foods</x:v>
      </x:c>
      <x:c r="C100" s="15" t="str">
        <x:v>Blocked: a successful Plate Scan result was required before saving identified foods.</x:v>
      </x:c>
      <x:c r="D100" s="15" t="str">
        <x:v>Selected foods are logged once to the selected meal.</x:v>
      </x:c>
      <x:c r="E100" s="128" t="str">
        <x:v>Blocked</x:v>
      </x:c>
      <x:c r="F100" s="15" t="str">
        <x:v>Identify plate &gt; review/edit &gt; select meal &gt; Save.</x:v>
      </x:c>
      <x:c r="G100" s="20" t="str">
        <x:v>12-Jun-2026</x:v>
      </x:c>
    </x:row>
    <x:row r="101" ht="52" customHeight="1">
      <x:c r="A101" s="14" t="str">
        <x:v>Plate Scan</x:v>
      </x:c>
      <x:c r="B101" s="15" t="str">
        <x:v>[Negative] Save with no selected detected foods</x:v>
      </x:c>
      <x:c r="C101" s="15" t="str">
        <x:v>Blocked: a successful Plate Scan result was required before testing empty selection.</x:v>
      </x:c>
      <x:c r="D101" s="15" t="str">
        <x:v>Save is disabled or validation explains that at least one item is required.</x:v>
      </x:c>
      <x:c r="E101" s="128" t="str">
        <x:v>Blocked</x:v>
      </x:c>
      <x:c r="F101" s="15" t="str">
        <x:v>Identify plate &gt; deselect/remove every item &gt; Save.</x:v>
      </x:c>
      <x:c r="G101" s="20" t="str">
        <x:v>12-Jun-2026</x:v>
      </x:c>
    </x:row>
    <x:row r="102" ht="52" customHeight="1">
      <x:c r="A102" s="14" t="str">
        <x:v>Food Library</x:v>
      </x:c>
      <x:c r="B102" s="15" t="str">
        <x:v>[Positive] Load default and user-created foods</x:v>
      </x:c>
      <x:c r="C102" s="15" t="str">
        <x:v>Automated backend regression: default foods loaded and a user-created food was created and listed.</x:v>
      </x:c>
      <x:c r="D102" s="15" t="str">
        <x:v>Library displays searchable foods with nutrition and serving information.</x:v>
      </x:c>
      <x:c r="E102" s="126" t="str">
        <x:v>Pass</x:v>
      </x:c>
      <x:c r="F102" s="15" t="str">
        <x:v>Open Tools &gt; Food Library.</x:v>
      </x:c>
      <x:c r="G102" s="20" t="str">
        <x:v>12-Jun-2026</x:v>
      </x:c>
    </x:row>
    <x:row r="103" ht="52" customHeight="1">
      <x:c r="A103" s="14" t="str">
        <x:v>Food Library</x:v>
      </x:c>
      <x:c r="B103" s="15" t="str">
        <x:v>[Positive] Search by full and partial food name</x:v>
      </x:c>
      <x:c r="C103" s="15" t="str">
        <x:v>Not executed in this production QA round.</x:v>
      </x:c>
      <x:c r="D103" s="15" t="str">
        <x:v>Matching foods are filtered without losing data.</x:v>
      </x:c>
      <x:c r="E103" s="127" t="str">
        <x:v>Not Tested</x:v>
      </x:c>
      <x:c r="F103" s="15" t="str">
        <x:v>Enter full and partial names in Search foods.</x:v>
      </x:c>
      <x:c r="G103" s="20" t="str">
        <x:v>12-Jun-2026</x:v>
      </x:c>
    </x:row>
    <x:row r="104" ht="52" customHeight="1">
      <x:c r="A104" s="14" t="str">
        <x:v>Food Library</x:v>
      </x:c>
      <x:c r="B104" s="15" t="str">
        <x:v>[Edge] Search using different letter case and surrounding spaces</x:v>
      </x:c>
      <x:c r="C104" s="15" t="str">
        <x:v>Not executed in this production QA round.</x:v>
      </x:c>
      <x:c r="D104" s="15" t="str">
        <x:v>Search is case-insensitive and handles whitespace.</x:v>
      </x:c>
      <x:c r="E104" s="127" t="str">
        <x:v>Not Tested</x:v>
      </x:c>
      <x:c r="F104" s="15" t="str">
        <x:v>Search for an existing food using uppercase and spaces.</x:v>
      </x:c>
      <x:c r="G104" s="20" t="str">
        <x:v>12-Jun-2026</x:v>
      </x:c>
    </x:row>
    <x:row r="105" ht="52" customHeight="1">
      <x:c r="A105" s="14" t="str">
        <x:v>Food Library</x:v>
      </x:c>
      <x:c r="B105" s="15" t="str">
        <x:v>[Positive] Sort foods by name, calories, protein, and fibre</x:v>
      </x:c>
      <x:c r="C105" s="15" t="str">
        <x:v>Not executed in this production QA round.</x:v>
      </x:c>
      <x:c r="D105" s="15" t="str">
        <x:v>Rows reorder correctly for every sort option.</x:v>
      </x:c>
      <x:c r="E105" s="127" t="str">
        <x:v>Not Tested</x:v>
      </x:c>
      <x:c r="F105" s="15" t="str">
        <x:v>Select each sort option and inspect order.</x:v>
      </x:c>
      <x:c r="G105" s="20" t="str">
        <x:v>12-Jun-2026</x:v>
      </x:c>
    </x:row>
    <x:row r="106" ht="52" customHeight="1">
      <x:c r="A106" s="14" t="str">
        <x:v>Food Library</x:v>
      </x:c>
      <x:c r="B106" s="15" t="str">
        <x:v>[Positive] Filter by each category</x:v>
      </x:c>
      <x:c r="C106" s="15" t="str">
        <x:v>Not executed in this production QA round.</x:v>
      </x:c>
      <x:c r="D106" s="15" t="str">
        <x:v>Only foods in the selected category are shown.</x:v>
      </x:c>
      <x:c r="E106" s="127" t="str">
        <x:v>Not Tested</x:v>
      </x:c>
      <x:c r="F106" s="15" t="str">
        <x:v>Select protein, dairy, legume, grain, veg, fruit, snack, beverage, recipe, and custom filters.</x:v>
      </x:c>
      <x:c r="G106" s="20" t="str">
        <x:v>12-Jun-2026</x:v>
      </x:c>
    </x:row>
    <x:row r="107" ht="52" customHeight="1">
      <x:c r="A107" s="14" t="str">
        <x:v>Food Library</x:v>
      </x:c>
      <x:c r="B107" s="15" t="str">
        <x:v>[Positive] Open Add food from Library</x:v>
      </x:c>
      <x:c r="C107" s="15" t="str">
        <x:v>Not executed in this production QA round.</x:v>
      </x:c>
      <x:c r="D107" s="15" t="str">
        <x:v>The app opens /add-food rather than Plate scan.</x:v>
      </x:c>
      <x:c r="E107" s="127" t="str">
        <x:v>Not Tested</x:v>
      </x:c>
      <x:c r="F107" s="15" t="str">
        <x:v>Open Food Library &gt; select + Add food.</x:v>
      </x:c>
      <x:c r="G107" s="20" t="str">
        <x:v>12-Jun-2026</x:v>
      </x:c>
    </x:row>
    <x:row r="108" ht="52" customHeight="1">
      <x:c r="A108" s="14" t="str">
        <x:v>Food Library</x:v>
      </x:c>
      <x:c r="B108" s="15" t="str">
        <x:v>[Positive] Edit a user-created food</x:v>
      </x:c>
      <x:c r="C108" s="15" t="str">
        <x:v>Automated backend regression: a user-created food was updated and the change persisted.</x:v>
      </x:c>
      <x:c r="D108" s="15" t="str">
        <x:v>Manual edit opens with saved values and Update persists changes.</x:v>
      </x:c>
      <x:c r="E108" s="126" t="str">
        <x:v>Pass</x:v>
      </x:c>
      <x:c r="F108" s="15" t="str">
        <x:v>Find a custom food &gt; Edit &gt; change nutrition &gt; Update.</x:v>
      </x:c>
      <x:c r="G108" s="20" t="str">
        <x:v>12-Jun-2026</x:v>
      </x:c>
    </x:row>
    <x:row r="109" ht="52" customHeight="1">
      <x:c r="A109" s="14" t="str">
        <x:v>Food Library</x:v>
      </x:c>
      <x:c r="B109" s="15" t="str">
        <x:v>[Negative] Attempt to edit or delete a protected default food</x:v>
      </x:c>
      <x:c r="C109" s="15" t="str">
        <x:v>Not executed in this production QA round.</x:v>
      </x:c>
      <x:c r="D109" s="15" t="str">
        <x:v>Controls are consistently disabled or an explanatory message is shown.</x:v>
      </x:c>
      <x:c r="E109" s="127" t="str">
        <x:v>Not Tested</x:v>
      </x:c>
      <x:c r="F109" s="15" t="str">
        <x:v>Inspect a seeded food &gt; attempt Edit/Delete.</x:v>
      </x:c>
      <x:c r="G109" s="20" t="str">
        <x:v>12-Jun-2026</x:v>
      </x:c>
    </x:row>
    <x:row r="110" ht="52" customHeight="1">
      <x:c r="A110" s="14" t="str">
        <x:v>Food Library</x:v>
      </x:c>
      <x:c r="B110" s="15" t="str">
        <x:v>[Positive] Delete a user-created food</x:v>
      </x:c>
      <x:c r="C110" s="15" t="str">
        <x:v>Automated backend regression: a user-created food was deleted successfully.</x:v>
      </x:c>
      <x:c r="D110" s="15" t="str">
        <x:v>Food is removed without deleting unrelated meal history.</x:v>
      </x:c>
      <x:c r="E110" s="126" t="str">
        <x:v>Pass</x:v>
      </x:c>
      <x:c r="F110" s="15" t="str">
        <x:v>Create custom food &gt; Library &gt; Delete &gt; verify logs and list.</x:v>
      </x:c>
      <x:c r="G110" s="20" t="str">
        <x:v>12-Jun-2026</x:v>
      </x:c>
    </x:row>
    <x:row r="111" ht="52" customHeight="1">
      <x:c r="A111" s="14" t="str">
        <x:v>Food Library</x:v>
      </x:c>
      <x:c r="B111" s="15" t="str">
        <x:v>[Data Integrity] Prevent duplicate foods from manual, AI, barcode, and label sources</x:v>
      </x:c>
      <x:c r="C111" s="15" t="str">
        <x:v>Automated backend CRUD/integration coverage passed, but this complete browser/UI scenario was not executed.</x:v>
      </x:c>
      <x:c r="D111" s="15" t="str">
        <x:v>Normalized duplicate detection behaves consistently across all add methods.</x:v>
      </x:c>
      <x:c r="E111" s="127" t="str">
        <x:v>Not Tested</x:v>
      </x:c>
      <x:c r="F111" s="15" t="str">
        <x:v>Try saving the same name through each Add Food tab.</x:v>
      </x:c>
      <x:c r="G111" s="20" t="str">
        <x:v>12-Jun-2026</x:v>
      </x:c>
    </x:row>
    <x:row r="112" ht="52" customHeight="1">
      <x:c r="A112" s="14" t="str">
        <x:v>Goals</x:v>
      </x:c>
      <x:c r="B112" s="15" t="str">
        <x:v>[Positive] Complete the seven-step goal wizard</x:v>
      </x:c>
      <x:c r="C112" s="15" t="str">
        <x:v>Production: completed Goal, Stats, Activity, Pace, Carbs, Diabetes, Preview, and Save across all seven steps.</x:v>
      </x:c>
      <x:c r="D112" s="15" t="str">
        <x:v>User can select Goal, Stats, Activity, Pace, Carbs, Diabetes, preview, and save.</x:v>
      </x:c>
      <x:c r="E112" s="126" t="str">
        <x:v>Pass</x:v>
      </x:c>
      <x:c r="F112" s="15" t="str">
        <x:v>Open Goals with completed profile &gt; progress through all steps.</x:v>
      </x:c>
      <x:c r="G112" s="20" t="str">
        <x:v>12-Jun-2026</x:v>
      </x:c>
    </x:row>
    <x:row r="113" ht="52" customHeight="1">
      <x:c r="A113" s="14" t="str">
        <x:v>Goals</x:v>
      </x:c>
      <x:c r="B113" s="15" t="str">
        <x:v>[Negative] Open Goals with incomplete profile</x:v>
      </x:c>
      <x:c r="C113" s="15" t="str">
        <x:v>Production: an incomplete profile showed Profile Required, prevented invalid setup, and displayed Complete your profile.</x:v>
      </x:c>
      <x:c r="D113" s="15" t="str">
        <x:v>The app clearly directs the user to Profile and prevents invalid recommendations.</x:v>
      </x:c>
      <x:c r="E113" s="126" t="str">
        <x:v>Pass</x:v>
      </x:c>
      <x:c r="F113" s="15" t="str">
        <x:v>Use a new account without age/weight/height &gt; open Goals.</x:v>
      </x:c>
      <x:c r="G113" s="20" t="str">
        <x:v>12-Jun-2026</x:v>
      </x:c>
    </x:row>
    <x:row r="114" ht="52" customHeight="1">
      <x:c r="A114" s="14" t="str">
        <x:v>Goals</x:v>
      </x:c>
      <x:c r="B114" s="15" t="str">
        <x:v>[Negative] Try to continue from Stats with incomplete profile</x:v>
      </x:c>
      <x:c r="C114" s="15" t="str">
        <x:v>Production: incomplete-profile Goals now provides a visible Complete your profile action instead of a dead-end Stats step.</x:v>
      </x:c>
      <x:c r="D114" s="15" t="str">
        <x:v>Next is disabled and a visible Complete profile action is provided.</x:v>
      </x:c>
      <x:c r="E114" s="126" t="str">
        <x:v>Pass</x:v>
      </x:c>
      <x:c r="F114" s="15" t="str">
        <x:v>Use incomplete profile &gt; Goals &gt; move to Stats.</x:v>
      </x:c>
      <x:c r="G114" s="20" t="str">
        <x:v>12-Jun-2026</x:v>
      </x:c>
    </x:row>
    <x:row r="115" ht="52" customHeight="1">
      <x:c r="A115" s="14" t="str">
        <x:v>Goals</x:v>
      </x:c>
      <x:c r="B115" s="15" t="str">
        <x:v>[Boundary] Enter minimum supported age, weight, and height</x:v>
      </x:c>
      <x:c r="C115" s="15" t="str">
        <x:v>Not executed in this production QA round.</x:v>
      </x:c>
      <x:c r="D115" s="15" t="str">
        <x:v>Values at the documented minimum are accepted and produce finite recommendations.</x:v>
      </x:c>
      <x:c r="E115" s="127" t="str">
        <x:v>Not Tested</x:v>
      </x:c>
      <x:c r="F115" s="15" t="str">
        <x:v>At Stats, enter minimum valid values &gt; continue.</x:v>
      </x:c>
      <x:c r="G115" s="20" t="str">
        <x:v>12-Jun-2026</x:v>
      </x:c>
    </x:row>
    <x:row r="116" ht="52" customHeight="1">
      <x:c r="A116" s="14" t="str">
        <x:v>Goals</x:v>
      </x:c>
      <x:c r="B116" s="15" t="str">
        <x:v>[Boundary] Enter maximum supported age, weight, and height</x:v>
      </x:c>
      <x:c r="C116" s="15" t="str">
        <x:v>Not executed in this production QA round.</x:v>
      </x:c>
      <x:c r="D116" s="15" t="str">
        <x:v>Values at the documented maximum are accepted without overflow.</x:v>
      </x:c>
      <x:c r="E116" s="127" t="str">
        <x:v>Not Tested</x:v>
      </x:c>
      <x:c r="F116" s="15" t="str">
        <x:v>At Stats, enter maximum valid values &gt; continue.</x:v>
      </x:c>
      <x:c r="G116" s="20" t="str">
        <x:v>12-Jun-2026</x:v>
      </x:c>
    </x:row>
    <x:row r="117" ht="52" customHeight="1">
      <x:c r="A117" s="14" t="str">
        <x:v>Goals</x:v>
      </x:c>
      <x:c r="B117" s="15" t="str">
        <x:v>[Negative] Enter values below or above allowed profile ranges</x:v>
      </x:c>
      <x:c r="C117" s="15" t="str">
        <x:v>Not executed in this production QA round.</x:v>
      </x:c>
      <x:c r="D117" s="15" t="str">
        <x:v>Next/save is blocked with field-specific validation.</x:v>
      </x:c>
      <x:c r="E117" s="127" t="str">
        <x:v>Not Tested</x:v>
      </x:c>
      <x:c r="F117" s="15" t="str">
        <x:v>Enter out-of-range age, weight, or height.</x:v>
      </x:c>
      <x:c r="G117" s="20" t="str">
        <x:v>12-Jun-2026</x:v>
      </x:c>
    </x:row>
    <x:row r="118" ht="52" customHeight="1">
      <x:c r="A118" s="14" t="str">
        <x:v>Goals</x:v>
      </x:c>
      <x:c r="B118" s="15" t="str">
        <x:v>[Positive] Preview fat-loss recommendation</x:v>
      </x:c>
      <x:c r="C118" s="15" t="str">
        <x:v>Automated frontend goal test: fat-loss BMR/TDEE deficit, macros, target weight, and date calculations passed.</x:v>
      </x:c>
      <x:c r="D118" s="15" t="str">
        <x:v>Calories use BMR/TDEE deficit; target weight/date and macros are visible.</x:v>
      </x:c>
      <x:c r="E118" s="126" t="str">
        <x:v>Pass</x:v>
      </x:c>
      <x:c r="F118" s="15" t="str">
        <x:v>Choose Reduce weight &gt; complete wizard &gt; Preview.</x:v>
      </x:c>
      <x:c r="G118" s="20" t="str">
        <x:v>12-Jun-2026</x:v>
      </x:c>
    </x:row>
    <x:row r="119" ht="52" customHeight="1">
      <x:c r="A119" s="14" t="str">
        <x:v>Goals</x:v>
      </x:c>
      <x:c r="B119" s="15" t="str">
        <x:v>[Positive] Preview muscle-build recommendation</x:v>
      </x:c>
      <x:c r="C119" s="15" t="str">
        <x:v>Automated frontend goal test: muscle-build surplus, protein, lean-mass target, and timeline calculations passed.</x:v>
      </x:c>
      <x:c r="D119" s="15" t="str">
        <x:v>Calorie surplus, protein, lean-mass target, and timeline are non-zero and sensible.</x:v>
      </x:c>
      <x:c r="E119" s="126" t="str">
        <x:v>Pass</x:v>
      </x:c>
      <x:c r="F119" s="15" t="str">
        <x:v>Choose Build muscle &gt; complete wizard &gt; Preview.</x:v>
      </x:c>
      <x:c r="G119" s="20" t="str">
        <x:v>12-Jun-2026</x:v>
      </x:c>
    </x:row>
    <x:row r="120" ht="52" customHeight="1">
      <x:c r="A120" s="14" t="str">
        <x:v>Goals</x:v>
      </x:c>
      <x:c r="B120" s="15" t="str">
        <x:v>[Positive] Preview weight-gain, maintenance, and glucose-control plans</x:v>
      </x:c>
      <x:c r="C120" s="15" t="str">
        <x:v>Automated frontend goal tests passed weight-gain, maintenance, and glucose-control calculations; glucose-control preview was also verified live.</x:v>
      </x:c>
      <x:c r="D120" s="15" t="str">
        <x:v>Each goal applies its documented adjustment and displays a complete plan.</x:v>
      </x:c>
      <x:c r="E120" s="126" t="str">
        <x:v>Pass</x:v>
      </x:c>
      <x:c r="F120" s="15" t="str">
        <x:v>Repeat the wizard for each remaining goal type.</x:v>
      </x:c>
      <x:c r="G120" s="20" t="str">
        <x:v>12-Jun-2026</x:v>
      </x:c>
    </x:row>
    <x:row r="121" ht="52" customHeight="1">
      <x:c r="A121" s="14" t="str">
        <x:v>Goals</x:v>
      </x:c>
      <x:c r="B121" s="15" t="str">
        <x:v>[Edge] Choose aggressive pace with diabetes-focused goal</x:v>
      </x:c>
      <x:c r="C121" s="15" t="str">
        <x:v>Production: Improve glucose control plus Aggressive pace displayed the glucose-safety warning.</x:v>
      </x:c>
      <x:c r="D121" s="15" t="str">
        <x:v>A glucose safety warning appears and Steady is recommended.</x:v>
      </x:c>
      <x:c r="E121" s="126" t="str">
        <x:v>Pass</x:v>
      </x:c>
      <x:c r="F121" s="15" t="str">
        <x:v>Choose Improve glucose control + aggressive pace + diabetic status.</x:v>
      </x:c>
      <x:c r="G121" s="20" t="str">
        <x:v>12-Jun-2026</x:v>
      </x:c>
    </x:row>
    <x:row r="122" ht="52" customHeight="1">
      <x:c r="A122" s="14" t="str">
        <x:v>Goals</x:v>
      </x:c>
      <x:c r="B122" s="15" t="str">
        <x:v>[Positive] Edit recommended target values in Preview</x:v>
      </x:c>
      <x:c r="C122" s="15" t="str">
        <x:v>Not executed in this production QA round.</x:v>
      </x:c>
      <x:c r="D122" s="15" t="str">
        <x:v>Editable targets accept valid values and show contextual guidance.</x:v>
      </x:c>
      <x:c r="E122" s="127" t="str">
        <x:v>Not Tested</x:v>
      </x:c>
      <x:c r="F122" s="15" t="str">
        <x:v>Preview plan &gt; change calories, macros, water, date, or target weight.</x:v>
      </x:c>
      <x:c r="G122" s="20" t="str">
        <x:v>12-Jun-2026</x:v>
      </x:c>
    </x:row>
    <x:row r="123" ht="52" customHeight="1">
      <x:c r="A123" s="14" t="str">
        <x:v>Goals</x:v>
      </x:c>
      <x:c r="B123" s="15" t="str">
        <x:v>[Negative] Enter zero, negative, or unrealistic edited targets</x:v>
      </x:c>
      <x:c r="C123" s="15" t="str">
        <x:v>Not executed in this production QA round.</x:v>
      </x:c>
      <x:c r="D123" s="15" t="str">
        <x:v>Save is blocked or a clear warning explains the acceptable range.</x:v>
      </x:c>
      <x:c r="E123" s="127" t="str">
        <x:v>Not Tested</x:v>
      </x:c>
      <x:c r="F123" s="15" t="str">
        <x:v>Preview plan &gt; enter invalid target values &gt; Save.</x:v>
      </x:c>
      <x:c r="G123" s="20" t="str">
        <x:v>12-Jun-2026</x:v>
      </x:c>
    </x:row>
    <x:row r="124" ht="52" customHeight="1">
      <x:c r="A124" s="14" t="str">
        <x:v>Goals</x:v>
      </x:c>
      <x:c r="B124" s="15" t="str">
        <x:v>[Positive] Save a goal plan</x:v>
      </x:c>
      <x:c r="C124" s="15" t="str">
        <x:v>Production: the plan saved and collapsed to a summary, but Today did not use the newly saved targets.</x:v>
      </x:c>
      <x:c r="D124" s="15" t="str">
        <x:v>Goal collapses to a saved summary and Today immediately uses saved targets.</x:v>
      </x:c>
      <x:c r="E124" s="129" t="str">
        <x:v>Fail</x:v>
      </x:c>
      <x:c r="F124" s="15" t="str">
        <x:v>Preview plan &gt; Save changes &gt; open Today.</x:v>
      </x:c>
      <x:c r="G124" s="20" t="str">
        <x:v>12-Jun-2026</x:v>
      </x:c>
    </x:row>
    <x:row r="125" ht="52" customHeight="1">
      <x:c r="A125" s="14" t="str">
        <x:v>Goals</x:v>
      </x:c>
      <x:c r="B125" s="15" t="str">
        <x:v>[Positive] Modify an existing saved goal</x:v>
      </x:c>
      <x:c r="C125" s="15" t="str">
        <x:v>Not executed in this production QA round.</x:v>
      </x:c>
      <x:c r="D125" s="15" t="str">
        <x:v>Modify goal opens Preview with editable saved values and Save changes persists updates.</x:v>
      </x:c>
      <x:c r="E125" s="127" t="str">
        <x:v>Not Tested</x:v>
      </x:c>
      <x:c r="F125" s="15" t="str">
        <x:v>Save a plan &gt; return to Goals &gt; select Modify goal.</x:v>
      </x:c>
      <x:c r="G125" s="20" t="str">
        <x:v>12-Jun-2026</x:v>
      </x:c>
    </x:row>
    <x:row r="126" ht="52" customHeight="1">
      <x:c r="A126" s="14" t="str">
        <x:v>Goals</x:v>
      </x:c>
      <x:c r="B126" s="15" t="str">
        <x:v>[Positive] Delete an existing goal</x:v>
      </x:c>
      <x:c r="C126" s="15" t="str">
        <x:v>Not executed in this production QA round.</x:v>
      </x:c>
      <x:c r="D126" s="15" t="str">
        <x:v>Confirmation appears and the goal is removed without deleting health logs.</x:v>
      </x:c>
      <x:c r="E126" s="127" t="str">
        <x:v>Not Tested</x:v>
      </x:c>
      <x:c r="F126" s="15" t="str">
        <x:v>Save a goal &gt; Delete goal &gt; confirm.</x:v>
      </x:c>
      <x:c r="G126" s="20" t="str">
        <x:v>12-Jun-2026</x:v>
      </x:c>
    </x:row>
    <x:row r="127" ht="52" customHeight="1">
      <x:c r="A127" s="14" t="str">
        <x:v>Goals</x:v>
      </x:c>
      <x:c r="B127" s="15" t="str">
        <x:v>[Edge] Trigger recalculation after weight changes by 2kg or more</x:v>
      </x:c>
      <x:c r="C127" s="15" t="str">
        <x:v>Not executed in this production QA round.</x:v>
      </x:c>
      <x:c r="D127" s="15" t="str">
        <x:v>A recalculation prompt appears and can apply the latest weight.</x:v>
      </x:c>
      <x:c r="E127" s="127" t="str">
        <x:v>Not Tested</x:v>
      </x:c>
      <x:c r="F127" s="15" t="str">
        <x:v>Save goal &gt; log weight differing by at least 2kg &gt; open Goals.</x:v>
      </x:c>
      <x:c r="G127" s="20" t="str">
        <x:v>12-Jun-2026</x:v>
      </x:c>
    </x:row>
    <x:row r="128" ht="52" customHeight="1">
      <x:c r="A128" s="14" t="str">
        <x:v>Goals</x:v>
      </x:c>
      <x:c r="B128" s="15" t="str">
        <x:v>[Data Integrity] Compare saved goal targets across Goals, Today, Coach, and Reports</x:v>
      </x:c>
      <x:c r="C128" s="15" t="str">
        <x:v>Not executed in this production QA round.</x:v>
      </x:c>
      <x:c r="D128" s="15" t="str">
        <x:v>Every page uses the same latest target values.</x:v>
      </x:c>
      <x:c r="E128" s="127" t="str">
        <x:v>Not Tested</x:v>
      </x:c>
      <x:c r="F128" s="15" t="str">
        <x:v>Save unique targets &gt; inspect all consuming pages.</x:v>
      </x:c>
      <x:c r="G128" s="20" t="str">
        <x:v>12-Jun-2026</x:v>
      </x:c>
    </x:row>
    <x:row r="129" ht="52" customHeight="1">
      <x:c r="A129" s="14" t="str">
        <x:v>Profile</x:v>
      </x:c>
      <x:c r="B129" s="15" t="str">
        <x:v>[Positive] Load saved profile values</x:v>
      </x:c>
      <x:c r="C129" s="15" t="str">
        <x:v>Production: saved name, locked email, age, gender, weight, height, preference, location, and timezone loaded correctly.</x:v>
      </x:c>
      <x:c r="D129" s="15" t="str">
        <x:v>Name, locked login email, age, gender, weight, height, preference, location, timezone, and notes display correctly.</x:v>
      </x:c>
      <x:c r="E129" s="126" t="str">
        <x:v>Pass</x:v>
      </x:c>
      <x:c r="F129" s="15" t="str">
        <x:v>Open Profile after saving profile data.</x:v>
      </x:c>
      <x:c r="G129" s="20" t="str">
        <x:v>12-Jun-2026</x:v>
      </x:c>
    </x:row>
    <x:row r="130" ht="52" customHeight="1">
      <x:c r="A130" s="14" t="str">
        <x:v>Profile</x:v>
      </x:c>
      <x:c r="B130" s="15" t="str">
        <x:v>[Positive] Save valid profile changes</x:v>
      </x:c>
      <x:c r="C130" s="15" t="str">
        <x:v>Production: valid profile changes saved once and a visible Profile updated confirmation appeared.</x:v>
      </x:c>
      <x:c r="D130" s="15" t="str">
        <x:v>Profile updates once and a visible confirmation appears without page jumping.</x:v>
      </x:c>
      <x:c r="E130" s="126" t="str">
        <x:v>Pass</x:v>
      </x:c>
      <x:c r="F130" s="15" t="str">
        <x:v>Edit profile fields &gt; Save profile.</x:v>
      </x:c>
      <x:c r="G130" s="20" t="str">
        <x:v>12-Jun-2026</x:v>
      </x:c>
    </x:row>
    <x:row r="131" ht="52" customHeight="1">
      <x:c r="A131" s="14" t="str">
        <x:v>Profile</x:v>
      </x:c>
      <x:c r="B131" s="15" t="str">
        <x:v>[Negative] Attempt to edit login email</x:v>
      </x:c>
      <x:c r="C131" s="15" t="str">
        <x:v>Production: Login email was disabled and could not be edited.</x:v>
      </x:c>
      <x:c r="D131" s="15" t="str">
        <x:v>Login email remains disabled and cannot be changed in the form.</x:v>
      </x:c>
      <x:c r="E131" s="126" t="str">
        <x:v>Pass</x:v>
      </x:c>
      <x:c r="F131" s="15" t="str">
        <x:v>Open Profile &gt; try typing into Login email.</x:v>
      </x:c>
      <x:c r="G131" s="20" t="str">
        <x:v>12-Jun-2026</x:v>
      </x:c>
    </x:row>
    <x:row r="132" ht="52" customHeight="1">
      <x:c r="A132" s="14" t="str">
        <x:v>Profile</x:v>
      </x:c>
      <x:c r="B132" s="15" t="str">
        <x:v>[Negative] Save invalid name characters</x:v>
      </x:c>
      <x:c r="C132" s="15" t="str">
        <x:v>Not executed in this production QA round.</x:v>
      </x:c>
      <x:c r="D132" s="15" t="str">
        <x:v>Name validation rejects unsupported characters with clear guidance.</x:v>
      </x:c>
      <x:c r="E132" s="127" t="str">
        <x:v>Not Tested</x:v>
      </x:c>
      <x:c r="F132" s="15" t="str">
        <x:v>Enter numbers/symbols outside the supported pattern &gt; Save.</x:v>
      </x:c>
      <x:c r="G132" s="20" t="str">
        <x:v>12-Jun-2026</x:v>
      </x:c>
    </x:row>
    <x:row r="133" ht="52" customHeight="1">
      <x:c r="A133" s="14" t="str">
        <x:v>Profile</x:v>
      </x:c>
      <x:c r="B133" s="15" t="str">
        <x:v>[Boundary] Save minimum and maximum age, weight, and height</x:v>
      </x:c>
      <x:c r="C133" s="15" t="str">
        <x:v>Not executed in this production QA round.</x:v>
      </x:c>
      <x:c r="D133" s="15" t="str">
        <x:v>Boundary values are handled consistently with Goals validation.</x:v>
      </x:c>
      <x:c r="E133" s="127" t="str">
        <x:v>Not Tested</x:v>
      </x:c>
      <x:c r="F133" s="15" t="str">
        <x:v>Enter documented minimums, save; repeat with maximums.</x:v>
      </x:c>
      <x:c r="G133" s="20" t="str">
        <x:v>12-Jun-2026</x:v>
      </x:c>
    </x:row>
    <x:row r="134" ht="52" customHeight="1">
      <x:c r="A134" s="14" t="str">
        <x:v>Profile</x:v>
      </x:c>
      <x:c r="B134" s="15" t="str">
        <x:v>[Negative] Save out-of-range age, weight, or height</x:v>
      </x:c>
      <x:c r="C134" s="15" t="str">
        <x:v>Not executed in this production QA round.</x:v>
      </x:c>
      <x:c r="D134" s="15" t="str">
        <x:v>Save is blocked and existing profile data remains unchanged.</x:v>
      </x:c>
      <x:c r="E134" s="127" t="str">
        <x:v>Not Tested</x:v>
      </x:c>
      <x:c r="F134" s="15" t="str">
        <x:v>Enter below-minimum/above-maximum values &gt; Save.</x:v>
      </x:c>
      <x:c r="G134" s="20" t="str">
        <x:v>12-Jun-2026</x:v>
      </x:c>
    </x:row>
    <x:row r="135" ht="52" customHeight="1">
      <x:c r="A135" s="14" t="str">
        <x:v>Profile</x:v>
      </x:c>
      <x:c r="B135" s="15" t="str">
        <x:v>[Positive] Select Vegan, Vegetarian, and Non-vegetarian preferences</x:v>
      </x:c>
      <x:c r="C135" s="15" t="str">
        <x:v>Not executed in this production QA round.</x:v>
      </x:c>
      <x:c r="D135" s="15" t="str">
        <x:v>Selected preference persists and recipe suggestions filter accordingly.</x:v>
      </x:c>
      <x:c r="E135" s="127" t="str">
        <x:v>Not Tested</x:v>
      </x:c>
      <x:c r="F135" s="15" t="str">
        <x:v>Save each food preference &gt; open Recipes.</x:v>
      </x:c>
      <x:c r="G135" s="20" t="str">
        <x:v>12-Jun-2026</x:v>
      </x:c>
    </x:row>
    <x:row r="136" ht="52" customHeight="1">
      <x:c r="A136" s="14" t="str">
        <x:v>Profile</x:v>
      </x:c>
      <x:c r="B136" s="15" t="str">
        <x:v>[Positive] Select country, then state, then city</x:v>
      </x:c>
      <x:c r="C136" s="15" t="str">
        <x:v>Production: United States loaded state options; Illinois loaded city options; Chicago saved successfully.</x:v>
      </x:c>
      <x:c r="D136" s="15" t="str">
        <x:v>State options depend on country; city options depend on state; placeholders update correctly.</x:v>
      </x:c>
      <x:c r="E136" s="126" t="str">
        <x:v>Pass</x:v>
      </x:c>
      <x:c r="F136" s="15" t="str">
        <x:v>Choose a country &gt; state &gt; city &gt; Save &gt; reload.</x:v>
      </x:c>
      <x:c r="G136" s="20" t="str">
        <x:v>12-Jun-2026</x:v>
      </x:c>
    </x:row>
    <x:row r="137" ht="52" customHeight="1">
      <x:c r="A137" s="14" t="str">
        <x:v>Profile</x:v>
      </x:c>
      <x:c r="B137" s="15" t="str">
        <x:v>[Edge] Change country after choosing state and city</x:v>
      </x:c>
      <x:c r="C137" s="15" t="str">
        <x:v>Not executed in this production QA round.</x:v>
      </x:c>
      <x:c r="D137" s="15" t="str">
        <x:v>Incompatible state and city values reset.</x:v>
      </x:c>
      <x:c r="E137" s="127" t="str">
        <x:v>Not Tested</x:v>
      </x:c>
      <x:c r="F137" s="15" t="str">
        <x:v>Select full location &gt; change country.</x:v>
      </x:c>
      <x:c r="G137" s="20" t="str">
        <x:v>12-Jun-2026</x:v>
      </x:c>
    </x:row>
    <x:row r="138" ht="52" customHeight="1">
      <x:c r="A138" s="14" t="str">
        <x:v>Profile</x:v>
      </x:c>
      <x:c r="B138" s="15" t="str">
        <x:v>[Positive] Save timezone and verify Today date</x:v>
      </x:c>
      <x:c r="C138" s="15" t="str">
        <x:v>Production: Central Time was saved and the header used the correct Chicago-local date during the test.</x:v>
      </x:c>
      <x:c r="D138" s="15" t="str">
        <x:v>Header and Today date use the saved timezone.</x:v>
      </x:c>
      <x:c r="E138" s="126" t="str">
        <x:v>Pass</x:v>
      </x:c>
      <x:c r="F138" s="15" t="str">
        <x:v>Change timezone &gt; Save &gt; compare with local time around midnight.</x:v>
      </x:c>
      <x:c r="G138" s="20" t="str">
        <x:v>12-Jun-2026</x:v>
      </x:c>
    </x:row>
    <x:row r="139" ht="52" customHeight="1">
      <x:c r="A139" s="14" t="str">
        <x:v>Profile</x:v>
      </x:c>
      <x:c r="B139" s="15" t="str">
        <x:v>[Positive] Enable Sunday health summary</x:v>
      </x:c>
      <x:c r="C139" s="15" t="str">
        <x:v>Not executed in this production QA round.</x:v>
      </x:c>
      <x:c r="D139" s="15" t="str">
        <x:v>Preference persists and uses the profile email.</x:v>
      </x:c>
      <x:c r="E139" s="127" t="str">
        <x:v>Not Tested</x:v>
      </x:c>
      <x:c r="F139" s="15" t="str">
        <x:v>Check Get a health summary delivered every Sunday &gt; Save &gt; reload.</x:v>
      </x:c>
      <x:c r="G139" s="20" t="str">
        <x:v>12-Jun-2026</x:v>
      </x:c>
    </x:row>
    <x:row r="140" ht="52" customHeight="1">
      <x:c r="A140" s="14" t="str">
        <x:v>Profile</x:v>
      </x:c>
      <x:c r="B140" s="15" t="str">
        <x:v>[Positive] Export account data</x:v>
      </x:c>
      <x:c r="C140" s="15" t="str">
        <x:v>Not executed in this production QA round.</x:v>
      </x:c>
      <x:c r="D140" s="15" t="str">
        <x:v>Authorized JSON/CSV export downloads only the current user's data.</x:v>
      </x:c>
      <x:c r="E140" s="127" t="str">
        <x:v>Not Tested</x:v>
      </x:c>
      <x:c r="F140" s="15" t="str">
        <x:v>Open Profile &gt; Export JSON and Export meals CSV.</x:v>
      </x:c>
      <x:c r="G140" s="20" t="str">
        <x:v>12-Jun-2026</x:v>
      </x:c>
    </x:row>
    <x:row r="141" ht="52" customHeight="1">
      <x:c r="A141" s="14" t="str">
        <x:v>Profile</x:v>
      </x:c>
      <x:c r="B141" s="15" t="str">
        <x:v>[Negative] Delete account with incorrect confirmation credentials</x:v>
      </x:c>
      <x:c r="C141" s="15" t="str">
        <x:v>Not executed in this production QA round.</x:v>
      </x:c>
      <x:c r="D141" s="15" t="str">
        <x:v>Deletion is blocked and account/data remain accessible.</x:v>
      </x:c>
      <x:c r="E141" s="127" t="str">
        <x:v>Not Tested</x:v>
      </x:c>
      <x:c r="F141" s="15" t="str">
        <x:v>Open Delete Account &gt; enter invalid confirmation &gt; submit.</x:v>
      </x:c>
      <x:c r="G141" s="20" t="str">
        <x:v>12-Jun-2026</x:v>
      </x:c>
    </x:row>
    <x:row r="142" ht="52" customHeight="1">
      <x:c r="A142" s="14" t="str">
        <x:v>Profile</x:v>
      </x:c>
      <x:c r="B142" s="15" t="str">
        <x:v>[Positive] Delete a disposable QA account</x:v>
      </x:c>
      <x:c r="C142" s="15" t="str">
        <x:v>Not executed in this production QA round.</x:v>
      </x:c>
      <x:c r="D142" s="15" t="str">
        <x:v>Account and owned data are deleted and future login fails.</x:v>
      </x:c>
      <x:c r="E142" s="127" t="str">
        <x:v>Not Tested</x:v>
      </x:c>
      <x:c r="F142" s="15" t="str">
        <x:v>Create disposable account &gt; Delete Account &gt; confirm &gt; try login.</x:v>
      </x:c>
      <x:c r="G142" s="20" t="str">
        <x:v>12-Jun-2026</x:v>
      </x:c>
    </x:row>
    <x:row r="143" ht="52" customHeight="1">
      <x:c r="A143" s="14" t="str">
        <x:v>Coach</x:v>
      </x:c>
      <x:c r="B143" s="15" t="str">
        <x:v>[Negative] Submit Coach with no question</x:v>
      </x:c>
      <x:c r="C143" s="15" t="str">
        <x:v>Blocked: the Core account shows the Pro upgrade dialog before Coach question validation.</x:v>
      </x:c>
      <x:c r="D143" s="15" t="str">
        <x:v>A prompt asks the user to enter a question and no empty request is sent.</x:v>
      </x:c>
      <x:c r="E143" s="128" t="str">
        <x:v>Blocked</x:v>
      </x:c>
      <x:c r="F143" s="15" t="str">
        <x:v>Open Coach &gt; leave question blank &gt; Ask coach.</x:v>
      </x:c>
      <x:c r="G143" s="20" t="str">
        <x:v>12-Jun-2026</x:v>
      </x:c>
    </x:row>
    <x:row r="144" ht="52" customHeight="1">
      <x:c r="A144" s="14" t="str">
        <x:v>Coach</x:v>
      </x:c>
      <x:c r="B144" s="15" t="str">
        <x:v>[Positive] Ask a general nutrition question</x:v>
      </x:c>
      <x:c r="C144" s="15" t="str">
        <x:v>Blocked: AI Coach is Pro-only and no Pro QA account was available.</x:v>
      </x:c>
      <x:c r="D144" s="15" t="str">
        <x:v>Coach returns a useful answer with appropriate non-medical framing.</x:v>
      </x:c>
      <x:c r="E144" s="128" t="str">
        <x:v>Blocked</x:v>
      </x:c>
      <x:c r="F144" s="15" t="str">
        <x:v>Enter a general question &gt; Ask coach.</x:v>
      </x:c>
      <x:c r="G144" s="20" t="str">
        <x:v>12-Jun-2026</x:v>
      </x:c>
    </x:row>
    <x:row r="145" ht="52" customHeight="1">
      <x:c r="A145" s="14" t="str">
        <x:v>Coach</x:v>
      </x:c>
      <x:c r="B145" s="15" t="str">
        <x:v>[Positive] Ask about current meal logs</x:v>
      </x:c>
      <x:c r="C145" s="15" t="str">
        <x:v>Blocked: AI Coach is Pro-only and no Pro QA account was available.</x:v>
      </x:c>
      <x:c r="D145" s="15" t="str">
        <x:v>Response references the user's actual meal/macro context.</x:v>
      </x:c>
      <x:c r="E145" s="128" t="str">
        <x:v>Blocked</x:v>
      </x:c>
      <x:c r="F145" s="15" t="str">
        <x:v>Create distinctive logs &gt; ask what to improve today.</x:v>
      </x:c>
      <x:c r="G145" s="20" t="str">
        <x:v>12-Jun-2026</x:v>
      </x:c>
    </x:row>
    <x:row r="146" ht="52" customHeight="1">
      <x:c r="A146" s="14" t="str">
        <x:v>Coach</x:v>
      </x:c>
      <x:c r="B146" s="15" t="str">
        <x:v>[Positive] Open Coach from Today recommendation</x:v>
      </x:c>
      <x:c r="C146" s="15" t="str">
        <x:v>Not executed in this production QA round.</x:v>
      </x:c>
      <x:c r="D146" s="15" t="str">
        <x:v>Prefilled question and source context are preserved.</x:v>
      </x:c>
      <x:c r="E146" s="127" t="str">
        <x:v>Not Tested</x:v>
      </x:c>
      <x:c r="F146" s="15" t="str">
        <x:v>Select Today recommendation CTA.</x:v>
      </x:c>
      <x:c r="G146" s="20" t="str">
        <x:v>12-Jun-2026</x:v>
      </x:c>
    </x:row>
    <x:row r="147" ht="52" customHeight="1">
      <x:c r="A147" s="14" t="str">
        <x:v>Coach</x:v>
      </x:c>
      <x:c r="B147" s="15" t="str">
        <x:v>[Positive] Open Coach from saved goal context</x:v>
      </x:c>
      <x:c r="C147" s="15" t="str">
        <x:v>Blocked: AI Coach is Pro-only and no Pro QA account was available.</x:v>
      </x:c>
      <x:c r="D147" s="15" t="str">
        <x:v>Question contains the saved goal and relevant targets.</x:v>
      </x:c>
      <x:c r="E147" s="128" t="str">
        <x:v>Blocked</x:v>
      </x:c>
      <x:c r="F147" s="15" t="str">
        <x:v>Save a goal &gt; Today &gt; Ask coach.</x:v>
      </x:c>
      <x:c r="G147" s="20" t="str">
        <x:v>12-Jun-2026</x:v>
      </x:c>
    </x:row>
    <x:row r="148" ht="52" customHeight="1">
      <x:c r="A148" s="14" t="str">
        <x:v>Coach</x:v>
      </x:c>
      <x:c r="B148" s="15" t="str">
        <x:v>[Negative] Ask for diagnosis or medication changes</x:v>
      </x:c>
      <x:c r="C148" s="15" t="str">
        <x:v>Blocked: AI Coach is Pro-only and no Pro QA account was available.</x:v>
      </x:c>
      <x:c r="D148" s="15" t="str">
        <x:v>Coach avoids diagnosis/prescribing and advises professional care.</x:v>
      </x:c>
      <x:c r="E148" s="128" t="str">
        <x:v>Blocked</x:v>
      </x:c>
      <x:c r="F148" s="15" t="str">
        <x:v>Ask a high-risk medical question.</x:v>
      </x:c>
      <x:c r="G148" s="20" t="str">
        <x:v>12-Jun-2026</x:v>
      </x:c>
    </x:row>
    <x:row r="149" ht="52" customHeight="1">
      <x:c r="A149" s="14" t="str">
        <x:v>Coach</x:v>
      </x:c>
      <x:c r="B149" s="15" t="str">
        <x:v>[Edge] Submit a very long question</x:v>
      </x:c>
      <x:c r="C149" s="15" t="str">
        <x:v>Blocked: AI Coach is Pro-only and no Pro QA account was available.</x:v>
      </x:c>
      <x:c r="D149" s="15" t="str">
        <x:v>Input is validated or processed without layout/API failure.</x:v>
      </x:c>
      <x:c r="E149" s="128" t="str">
        <x:v>Blocked</x:v>
      </x:c>
      <x:c r="F149" s="15" t="str">
        <x:v>Paste a long multi-paragraph question near the allowed limit.</x:v>
      </x:c>
      <x:c r="G149" s="20" t="str">
        <x:v>12-Jun-2026</x:v>
      </x:c>
    </x:row>
    <x:row r="150" ht="52" customHeight="1">
      <x:c r="A150" s="14" t="str">
        <x:v>Coach</x:v>
      </x:c>
      <x:c r="B150" s="15" t="str">
        <x:v>[Error Handling] AI provider is unavailable</x:v>
      </x:c>
      <x:c r="C150" s="15" t="str">
        <x:v>Blocked: provider-failure simulation was not performed against production.</x:v>
      </x:c>
      <x:c r="D150" s="15" t="str">
        <x:v>A clear retry/fallback message appears and the page remains usable.</x:v>
      </x:c>
      <x:c r="E150" s="128" t="str">
        <x:v>Blocked</x:v>
      </x:c>
      <x:c r="F150" s="15" t="str">
        <x:v>Simulate provider timeout/failure &gt; submit question.</x:v>
      </x:c>
      <x:c r="G150" s="20" t="str">
        <x:v>12-Jun-2026</x:v>
      </x:c>
    </x:row>
    <x:row r="151" ht="52" customHeight="1">
      <x:c r="A151" s="14" t="str">
        <x:v>Recipes</x:v>
      </x:c>
      <x:c r="B151" s="15" t="str">
        <x:v>[Positive] Calculate recipe nutrition from ingredients and quantities</x:v>
      </x:c>
      <x:c r="C151" s="15" t="str">
        <x:v>Blocked: recipe calculation is gated for the Core QA account.</x:v>
      </x:c>
      <x:c r="D151" s="15" t="str">
        <x:v>Total and per-serving macros recalculate correctly.</x:v>
      </x:c>
      <x:c r="E151" s="128" t="str">
        <x:v>Blocked</x:v>
      </x:c>
      <x:c r="F151" s="15" t="str">
        <x:v>Open Recipes &gt; name recipe &gt; add ingredients/quantities &gt; set servings.</x:v>
      </x:c>
      <x:c r="G151" s="20" t="str">
        <x:v>12-Jun-2026</x:v>
      </x:c>
    </x:row>
    <x:row r="152" ht="52" customHeight="1">
      <x:c r="A152" s="14" t="str">
        <x:v>Recipes</x:v>
      </x:c>
      <x:c r="B152" s="15" t="str">
        <x:v>[Negative] Add ingredient without choosing an ingredient or quantity</x:v>
      </x:c>
      <x:c r="C152" s="15" t="str">
        <x:v>Blocked: recipe calculation is gated for the Core QA account.</x:v>
      </x:c>
      <x:c r="D152" s="15" t="str">
        <x:v>Add ingredient remains disabled or validation is shown.</x:v>
      </x:c>
      <x:c r="E152" s="128" t="str">
        <x:v>Blocked</x:v>
      </x:c>
      <x:c r="F152" s="15" t="str">
        <x:v>Leave default ingredient/quantity &gt; attempt Add ingredient.</x:v>
      </x:c>
      <x:c r="G152" s="20" t="str">
        <x:v>12-Jun-2026</x:v>
      </x:c>
    </x:row>
    <x:row r="153" ht="52" customHeight="1">
      <x:c r="A153" s="14" t="str">
        <x:v>Recipes</x:v>
      </x:c>
      <x:c r="B153" s="15" t="str">
        <x:v>[Boundary] Use one serving</x:v>
      </x:c>
      <x:c r="C153" s="15" t="str">
        <x:v>Blocked: recipe calculation is gated for the Core QA account.</x:v>
      </x:c>
      <x:c r="D153" s="15" t="str">
        <x:v>Per-serving macros equal total recipe macros.</x:v>
      </x:c>
      <x:c r="E153" s="128" t="str">
        <x:v>Blocked</x:v>
      </x:c>
      <x:c r="F153" s="15" t="str">
        <x:v>Build recipe &gt; set Servings to 1.</x:v>
      </x:c>
      <x:c r="G153" s="20" t="str">
        <x:v>12-Jun-2026</x:v>
      </x:c>
    </x:row>
    <x:row r="154" ht="52" customHeight="1">
      <x:c r="A154" s="14" t="str">
        <x:v>Recipes</x:v>
      </x:c>
      <x:c r="B154" s="15" t="str">
        <x:v>[Boundary] Use a large serving count</x:v>
      </x:c>
      <x:c r="C154" s="15" t="str">
        <x:v>Blocked: recipe calculation is gated for the Core QA account.</x:v>
      </x:c>
      <x:c r="D154" s="15" t="str">
        <x:v>Per-serving values remain finite and correctly divided.</x:v>
      </x:c>
      <x:c r="E154" s="128" t="str">
        <x:v>Blocked</x:v>
      </x:c>
      <x:c r="F154" s="15" t="str">
        <x:v>Build recipe &gt; enter a large valid serving count.</x:v>
      </x:c>
      <x:c r="G154" s="20" t="str">
        <x:v>12-Jun-2026</x:v>
      </x:c>
    </x:row>
    <x:row r="155" ht="52" customHeight="1">
      <x:c r="A155" s="14" t="str">
        <x:v>Recipes</x:v>
      </x:c>
      <x:c r="B155" s="15" t="str">
        <x:v>[Negative] Use zero or negative servings/ingredient quantity</x:v>
      </x:c>
      <x:c r="C155" s="15" t="str">
        <x:v>Blocked: recipe calculation is gated for the Core QA account.</x:v>
      </x:c>
      <x:c r="D155" s="15" t="str">
        <x:v>Save/calculation is blocked and no invalid recipe is created.</x:v>
      </x:c>
      <x:c r="E155" s="128" t="str">
        <x:v>Blocked</x:v>
      </x:c>
      <x:c r="F155" s="15" t="str">
        <x:v>Enter zero/negative serving or quantity.</x:v>
      </x:c>
      <x:c r="G155" s="20" t="str">
        <x:v>12-Jun-2026</x:v>
      </x:c>
    </x:row>
    <x:row r="156" ht="52" customHeight="1">
      <x:c r="A156" s="14" t="str">
        <x:v>Recipes</x:v>
      </x:c>
      <x:c r="B156" s="15" t="str">
        <x:v>[Positive] Add Other / add new ingredient manually</x:v>
      </x:c>
      <x:c r="C156" s="15" t="str">
        <x:v>Blocked: recipe calculation is gated for the Core QA account.</x:v>
      </x:c>
      <x:c r="D156" s="15" t="str">
        <x:v>Modal blocks the background, saves the ingredient, and returns it to the ingredient selector.</x:v>
      </x:c>
      <x:c r="E156" s="128" t="str">
        <x:v>Blocked</x:v>
      </x:c>
      <x:c r="F156" s="15" t="str">
        <x:v>Ingredient dropdown &gt; Other &gt; Manual &gt; complete nutrition &gt; Save.</x:v>
      </x:c>
      <x:c r="G156" s="20" t="str">
        <x:v>12-Jun-2026</x:v>
      </x:c>
    </x:row>
    <x:row r="157" ht="52" customHeight="1">
      <x:c r="A157" s="14" t="str">
        <x:v>Recipes</x:v>
      </x:c>
      <x:c r="B157" s="15" t="str">
        <x:v>[Positive] Add Other ingredient using scan</x:v>
      </x:c>
      <x:c r="C157" s="15" t="str">
        <x:v>Blocked: recipe scanning requires paid access and an approved image.</x:v>
      </x:c>
      <x:c r="D157" s="15" t="str">
        <x:v>Scan result can be reviewed and saved as an ingredient.</x:v>
      </x:c>
      <x:c r="E157" s="128" t="str">
        <x:v>Blocked</x:v>
      </x:c>
      <x:c r="F157" s="15" t="str">
        <x:v>Ingredient dropdown &gt; Other &gt; Scan &gt; process label &gt; review/save.</x:v>
      </x:c>
      <x:c r="G157" s="20" t="str">
        <x:v>12-Jun-2026</x:v>
      </x:c>
    </x:row>
    <x:row r="158" ht="52" customHeight="1">
      <x:c r="A158" s="14" t="str">
        <x:v>Recipes</x:v>
      </x:c>
      <x:c r="B158" s="15" t="str">
        <x:v>[Positive] Save a complete recipe</x:v>
      </x:c>
      <x:c r="C158" s="15" t="str">
        <x:v>Blocked: recipe saving is gated for the Core QA account.</x:v>
      </x:c>
      <x:c r="D158" s="15" t="str">
        <x:v>Recipe appears in My saved recipes and can be followed later.</x:v>
      </x:c>
      <x:c r="E158" s="128" t="str">
        <x:v>Blocked</x:v>
      </x:c>
      <x:c r="F158" s="15" t="str">
        <x:v>Complete recipe name, ingredients, servings, times, and method &gt; Save recipe.</x:v>
      </x:c>
      <x:c r="G158" s="20" t="str">
        <x:v>12-Jun-2026</x:v>
      </x:c>
    </x:row>
    <x:row r="159" ht="52" customHeight="1">
      <x:c r="A159" s="14" t="str">
        <x:v>Recipes</x:v>
      </x:c>
      <x:c r="B159" s="15" t="str">
        <x:v>[Negative] Save an incomplete recipe</x:v>
      </x:c>
      <x:c r="C159" s="15" t="str">
        <x:v>Blocked: recipe saving is gated for the Core QA account.</x:v>
      </x:c>
      <x:c r="D159" s="15" t="str">
        <x:v>Missing name/ingredients/method validation is clear and no partial recipe is saved.</x:v>
      </x:c>
      <x:c r="E159" s="128" t="str">
        <x:v>Blocked</x:v>
      </x:c>
      <x:c r="F159" s="15" t="str">
        <x:v>Leave required recipe data empty &gt; Save recipe.</x:v>
      </x:c>
      <x:c r="G159" s="20" t="str">
        <x:v>12-Jun-2026</x:v>
      </x:c>
    </x:row>
    <x:row r="160" ht="52" customHeight="1">
      <x:c r="A160" s="14" t="str">
        <x:v>Recipes</x:v>
      </x:c>
      <x:c r="B160" s="15" t="str">
        <x:v>[Negative] Save a duplicate recipe</x:v>
      </x:c>
      <x:c r="C160" s="15" t="str">
        <x:v>Blocked: recipe saving is gated for the Core QA account.</x:v>
      </x:c>
      <x:c r="D160" s="15" t="str">
        <x:v>Duplicate is prevented or marked Already in library.</x:v>
      </x:c>
      <x:c r="E160" s="128" t="str">
        <x:v>Blocked</x:v>
      </x:c>
      <x:c r="F160" s="15" t="str">
        <x:v>Save a recipe &gt; attempt to save the same recipe again.</x:v>
      </x:c>
      <x:c r="G160" s="20" t="str">
        <x:v>12-Jun-2026</x:v>
      </x:c>
    </x:row>
    <x:row r="161" ht="52" customHeight="1">
      <x:c r="A161" s="14" t="str">
        <x:v>Recipes</x:v>
      </x:c>
      <x:c r="B161" s="15" t="str">
        <x:v>[Negative] Core user selects Add to library for a suggested recipe</x:v>
      </x:c>
      <x:c r="C161" s="15" t="str">
        <x:v>Blocked: the recipe suggestion workflow was not reachable with the Core QA account.</x:v>
      </x:c>
      <x:c r="D161" s="15" t="str">
        <x:v>Upgrade dialog is centered and fully visible above sticky navigation.</x:v>
      </x:c>
      <x:c r="E161" s="128" t="str">
        <x:v>Blocked</x:v>
      </x:c>
      <x:c r="F161" s="15" t="str">
        <x:v>Use Core account &gt; Recipes &gt; select Add to library on a suggestion.</x:v>
      </x:c>
      <x:c r="G161" s="20" t="str">
        <x:v>12-Jun-2026</x:v>
      </x:c>
    </x:row>
    <x:row r="162" ht="52" customHeight="1">
      <x:c r="A162" s="14" t="str">
        <x:v>Recipes</x:v>
      </x:c>
      <x:c r="B162" s="15" t="str">
        <x:v>[Positive] Filter suggested recipes by All, Vegan, Veg, and Non-veg</x:v>
      </x:c>
      <x:c r="C162" s="15" t="str">
        <x:v>Blocked: recipe suggestions are gated for the Core QA account.</x:v>
      </x:c>
      <x:c r="D162" s="15" t="str">
        <x:v>Cards match the selected filter and profile preference.</x:v>
      </x:c>
      <x:c r="E162" s="128" t="str">
        <x:v>Blocked</x:v>
      </x:c>
      <x:c r="F162" s="15" t="str">
        <x:v>Select each recipe diet filter.</x:v>
      </x:c>
      <x:c r="G162" s="20" t="str">
        <x:v>12-Jun-2026</x:v>
      </x:c>
    </x:row>
    <x:row r="163" ht="52" customHeight="1">
      <x:c r="A163" s="14" t="str">
        <x:v>Recipes</x:v>
      </x:c>
      <x:c r="B163" s="15" t="str">
        <x:v>[Positive] Open a saved recipe in My saved recipes</x:v>
      </x:c>
      <x:c r="C163" s="15" t="str">
        <x:v>Blocked: no paid saved recipe could be created for this workflow.</x:v>
      </x:c>
      <x:c r="D163" s="15" t="str">
        <x:v>Ingredients, quantities, timing, method, and nutrition are visible.</x:v>
      </x:c>
      <x:c r="E163" s="128" t="str">
        <x:v>Blocked</x:v>
      </x:c>
      <x:c r="F163" s="15" t="str">
        <x:v>Save a recipe &gt; username menu &gt; My saved recipes &gt; open recipe.</x:v>
      </x:c>
      <x:c r="G163" s="20" t="str">
        <x:v>12-Jun-2026</x:v>
      </x:c>
    </x:row>
    <x:row r="164" ht="52" customHeight="1">
      <x:c r="A164" s="14" t="str">
        <x:v>Recipes</x:v>
      </x:c>
      <x:c r="B164" s="15" t="str">
        <x:v>[Data Integrity] Saved recipes do not appear in the ingredient list</x:v>
      </x:c>
      <x:c r="C164" s="15" t="str">
        <x:v>Blocked: no paid saved recipe could be created for this integrity check.</x:v>
      </x:c>
      <x:c r="D164" s="15" t="str">
        <x:v>Only ingredients/foods appear in ingredient selection.</x:v>
      </x:c>
      <x:c r="E164" s="128" t="str">
        <x:v>Blocked</x:v>
      </x:c>
      <x:c r="F164" s="15" t="str">
        <x:v>Save a recipe &gt; open new recipe &gt; inspect ingredient dropdown.</x:v>
      </x:c>
      <x:c r="G164" s="20" t="str">
        <x:v>12-Jun-2026</x:v>
      </x:c>
    </x:row>
    <x:row r="165" ht="52" customHeight="1">
      <x:c r="A165" s="14" t="str">
        <x:v>Meal Templates</x:v>
      </x:c>
      <x:c r="B165" s="15" t="str">
        <x:v>[Positive] Create a template from multiple foods</x:v>
      </x:c>
      <x:c r="C165" s="15" t="str">
        <x:v>Blocked: Meal Templates are paid and no Pro QA account was available.</x:v>
      </x:c>
      <x:c r="D165" s="15" t="str">
        <x:v>Template saves with all selected foods and quantities.</x:v>
      </x:c>
      <x:c r="E165" s="128" t="str">
        <x:v>Blocked</x:v>
      </x:c>
      <x:c r="F165" s="15" t="str">
        <x:v>Open Templates &gt; create template &gt; add foods &gt; Save.</x:v>
      </x:c>
      <x:c r="G165" s="20" t="str">
        <x:v>12-Jun-2026</x:v>
      </x:c>
    </x:row>
    <x:row r="166" ht="52" customHeight="1">
      <x:c r="A166" s="14" t="str">
        <x:v>Meal Templates</x:v>
      </x:c>
      <x:c r="B166" s="15" t="str">
        <x:v>[Negative] Save template without a name or items</x:v>
      </x:c>
      <x:c r="C166" s="15" t="str">
        <x:v>Blocked: Meal Templates are paid and no Pro QA account was available.</x:v>
      </x:c>
      <x:c r="D166" s="15" t="str">
        <x:v>Validation blocks incomplete template.</x:v>
      </x:c>
      <x:c r="E166" s="128" t="str">
        <x:v>Blocked</x:v>
      </x:c>
      <x:c r="F166" s="15" t="str">
        <x:v>Leave name/items empty &gt; Save template.</x:v>
      </x:c>
      <x:c r="G166" s="20" t="str">
        <x:v>12-Jun-2026</x:v>
      </x:c>
    </x:row>
    <x:row r="167" ht="52" customHeight="1">
      <x:c r="A167" s="14" t="str">
        <x:v>Meal Templates</x:v>
      </x:c>
      <x:c r="B167" s="15" t="str">
        <x:v>[Positive] Log a saved template</x:v>
      </x:c>
      <x:c r="C167" s="15" t="str">
        <x:v>Blocked: Meal Templates are paid and no Pro QA account was available.</x:v>
      </x:c>
      <x:c r="D167" s="15" t="str">
        <x:v>All template items are logged once to the selected meal/date.</x:v>
      </x:c>
      <x:c r="E167" s="128" t="str">
        <x:v>Blocked</x:v>
      </x:c>
      <x:c r="F167" s="15" t="str">
        <x:v>Open Templates &gt; select template &gt; Log.</x:v>
      </x:c>
      <x:c r="G167" s="20" t="str">
        <x:v>12-Jun-2026</x:v>
      </x:c>
    </x:row>
    <x:row r="168" ht="52" customHeight="1">
      <x:c r="A168" s="14" t="str">
        <x:v>Meal Templates</x:v>
      </x:c>
      <x:c r="B168" s="15" t="str">
        <x:v>[Data Integrity] Template logging preserves quantities and macros</x:v>
      </x:c>
      <x:c r="C168" s="15" t="str">
        <x:v>Blocked: Meal Templates are paid and no Pro QA account was available.</x:v>
      </x:c>
      <x:c r="D168" s="15" t="str">
        <x:v>Logged values match the saved template.</x:v>
      </x:c>
      <x:c r="E168" s="128" t="str">
        <x:v>Blocked</x:v>
      </x:c>
      <x:c r="F168" s="15" t="str">
        <x:v>Save distinctive quantities &gt; log template &gt; compare Today.</x:v>
      </x:c>
      <x:c r="G168" s="20" t="str">
        <x:v>12-Jun-2026</x:v>
      </x:c>
    </x:row>
    <x:row r="169" ht="52" customHeight="1">
      <x:c r="A169" s="14" t="str">
        <x:v>Meal Templates</x:v>
      </x:c>
      <x:c r="B169" s="15" t="str">
        <x:v>[Positive] Edit a template</x:v>
      </x:c>
      <x:c r="C169" s="15" t="str">
        <x:v>Blocked: Meal Templates are paid and no Pro QA account was available.</x:v>
      </x:c>
      <x:c r="D169" s="15" t="str">
        <x:v>Changes persist without duplicating the template.</x:v>
      </x:c>
      <x:c r="E169" s="128" t="str">
        <x:v>Blocked</x:v>
      </x:c>
      <x:c r="F169" s="15" t="str">
        <x:v>Open existing template &gt; edit foods/quantities &gt; Save.</x:v>
      </x:c>
      <x:c r="G169" s="20" t="str">
        <x:v>12-Jun-2026</x:v>
      </x:c>
    </x:row>
    <x:row r="170" ht="52" customHeight="1">
      <x:c r="A170" s="14" t="str">
        <x:v>Meal Templates</x:v>
      </x:c>
      <x:c r="B170" s="15" t="str">
        <x:v>[Positive] Delete a template</x:v>
      </x:c>
      <x:c r="C170" s="15" t="str">
        <x:v>Blocked: Meal Templates are paid and no Pro QA account was available.</x:v>
      </x:c>
      <x:c r="D170" s="15" t="str">
        <x:v>Template is removed and previous meal logs remain.</x:v>
      </x:c>
      <x:c r="E170" s="128" t="str">
        <x:v>Blocked</x:v>
      </x:c>
      <x:c r="F170" s="15" t="str">
        <x:v>Delete a saved template.</x:v>
      </x:c>
      <x:c r="G170" s="20" t="str">
        <x:v>12-Jun-2026</x:v>
      </x:c>
    </x:row>
    <x:row r="171" ht="52" customHeight="1">
      <x:c r="A171" s="14" t="str">
        <x:v>Meal Templates</x:v>
      </x:c>
      <x:c r="B171" s="15" t="str">
        <x:v>[Boundary] Reach the Core template limit</x:v>
      </x:c>
      <x:c r="C171" s="15" t="str">
        <x:v>Blocked: Core template-limit state was not available.</x:v>
      </x:c>
      <x:c r="D171" s="15" t="str">
        <x:v>Allowed templates can be created up to the exact configured limit.</x:v>
      </x:c>
      <x:c r="E171" s="128" t="str">
        <x:v>Blocked</x:v>
      </x:c>
      <x:c r="F171" s="15" t="str">
        <x:v>Create templates until the Core limit is reached.</x:v>
      </x:c>
      <x:c r="G171" s="20" t="str">
        <x:v>12-Jun-2026</x:v>
      </x:c>
    </x:row>
    <x:row r="172" ht="52" customHeight="1">
      <x:c r="A172" s="14" t="str">
        <x:v>Meal Templates</x:v>
      </x:c>
      <x:c r="B172" s="15" t="str">
        <x:v>[Boundary] Create one template beyond the Core limit</x:v>
      </x:c>
      <x:c r="C172" s="15" t="str">
        <x:v>Blocked: Core template-limit state was not available.</x:v>
      </x:c>
      <x:c r="D172" s="15" t="str">
        <x:v>Upgrade dialog appears and no extra template is saved.</x:v>
      </x:c>
      <x:c r="E172" s="128" t="str">
        <x:v>Blocked</x:v>
      </x:c>
      <x:c r="F172" s="15" t="str">
        <x:v>At the Core limit &gt; create another template.</x:v>
      </x:c>
      <x:c r="G172" s="20" t="str">
        <x:v>12-Jun-2026</x:v>
      </x:c>
    </x:row>
    <x:row r="173" ht="52" customHeight="1">
      <x:c r="A173" s="14" t="str">
        <x:v>Body Tracking</x:v>
      </x:c>
      <x:c r="B173" s="15" t="str">
        <x:v>[Positive] Log daily weight</x:v>
      </x:c>
      <x:c r="C173" s="15" t="str">
        <x:v>Automated backend CRUD/integration coverage passed, but this complete browser/UI scenario was not executed.</x:v>
      </x:c>
      <x:c r="D173" s="15" t="str">
        <x:v>Weight is saved for the selected date and trend/BMI update.</x:v>
      </x:c>
      <x:c r="E173" s="127" t="str">
        <x:v>Not Tested</x:v>
      </x:c>
      <x:c r="F173" s="15" t="str">
        <x:v>Tools &gt; Body &gt; Weight &gt; enter valid weight/date &gt; Save.</x:v>
      </x:c>
      <x:c r="G173" s="20" t="str">
        <x:v>12-Jun-2026</x:v>
      </x:c>
    </x:row>
    <x:row r="174" ht="52" customHeight="1">
      <x:c r="A174" s="14" t="str">
        <x:v>Body Tracking</x:v>
      </x:c>
      <x:c r="B174" s="15" t="str">
        <x:v>[Positive] Edit weight logged for the same date</x:v>
      </x:c>
      <x:c r="C174" s="15" t="str">
        <x:v>Automated backend CRUD/integration coverage passed, but this complete browser/UI scenario was not executed.</x:v>
      </x:c>
      <x:c r="D174" s="15" t="str">
        <x:v>Documented replace/update behavior occurs without duplicate daily points.</x:v>
      </x:c>
      <x:c r="E174" s="127" t="str">
        <x:v>Not Tested</x:v>
      </x:c>
      <x:c r="F174" s="15" t="str">
        <x:v>Log weight for a date &gt; log a different value for the same date.</x:v>
      </x:c>
      <x:c r="G174" s="20" t="str">
        <x:v>12-Jun-2026</x:v>
      </x:c>
    </x:row>
    <x:row r="175" ht="52" customHeight="1">
      <x:c r="A175" s="14" t="str">
        <x:v>Body Tracking</x:v>
      </x:c>
      <x:c r="B175" s="15" t="str">
        <x:v>[Boundary] Log minimum and maximum allowed weight</x:v>
      </x:c>
      <x:c r="C175" s="15" t="str">
        <x:v>Not executed in this production QA round.</x:v>
      </x:c>
      <x:c r="D175" s="15" t="str">
        <x:v>Boundary weights save and chart correctly.</x:v>
      </x:c>
      <x:c r="E175" s="127" t="str">
        <x:v>Not Tested</x:v>
      </x:c>
      <x:c r="F175" s="15" t="str">
        <x:v>Enter documented minimum; repeat with maximum.</x:v>
      </x:c>
      <x:c r="G175" s="20" t="str">
        <x:v>12-Jun-2026</x:v>
      </x:c>
    </x:row>
    <x:row r="176" ht="52" customHeight="1">
      <x:c r="A176" s="14" t="str">
        <x:v>Body Tracking</x:v>
      </x:c>
      <x:c r="B176" s="15" t="str">
        <x:v>[Negative] Log zero, negative, or non-numeric weight</x:v>
      </x:c>
      <x:c r="C176" s="15" t="str">
        <x:v>Not executed in this production QA round.</x:v>
      </x:c>
      <x:c r="D176" s="15" t="str">
        <x:v>Validation blocks save and chart remains unchanged.</x:v>
      </x:c>
      <x:c r="E176" s="127" t="str">
        <x:v>Not Tested</x:v>
      </x:c>
      <x:c r="F176" s="15" t="str">
        <x:v>Enter invalid weight &gt; Save.</x:v>
      </x:c>
      <x:c r="G176" s="20" t="str">
        <x:v>12-Jun-2026</x:v>
      </x:c>
    </x:row>
    <x:row r="177" ht="52" customHeight="1">
      <x:c r="A177" s="14" t="str">
        <x:v>Body Tracking</x:v>
      </x:c>
      <x:c r="B177" s="15" t="str">
        <x:v>[Positive] Log water intake</x:v>
      </x:c>
      <x:c r="C177" s="15" t="str">
        <x:v>Automated backend CRUD/integration coverage passed, but this complete browser/UI scenario was not executed.</x:v>
      </x:c>
      <x:c r="D177" s="15" t="str">
        <x:v>Daily hydration total and progress update.</x:v>
      </x:c>
      <x:c r="E177" s="127" t="str">
        <x:v>Not Tested</x:v>
      </x:c>
      <x:c r="F177" s="15" t="str">
        <x:v>Body &gt; Water &gt; enter valid amount &gt; Save.</x:v>
      </x:c>
      <x:c r="G177" s="20" t="str">
        <x:v>12-Jun-2026</x:v>
      </x:c>
    </x:row>
    <x:row r="178" ht="52" customHeight="1">
      <x:c r="A178" s="14" t="str">
        <x:v>Body Tracking</x:v>
      </x:c>
      <x:c r="B178" s="15" t="str">
        <x:v>[Boundary] Log very small and large water amounts</x:v>
      </x:c>
      <x:c r="C178" s="15" t="str">
        <x:v>Not executed in this production QA round.</x:v>
      </x:c>
      <x:c r="D178" s="15" t="str">
        <x:v>Values follow allowed boundaries without overflow.</x:v>
      </x:c>
      <x:c r="E178" s="127" t="str">
        <x:v>Not Tested</x:v>
      </x:c>
      <x:c r="F178" s="15" t="str">
        <x:v>Enter boundary hydration amounts.</x:v>
      </x:c>
      <x:c r="G178" s="20" t="str">
        <x:v>12-Jun-2026</x:v>
      </x:c>
    </x:row>
    <x:row r="179" ht="52" customHeight="1">
      <x:c r="A179" s="14" t="str">
        <x:v>Body Tracking</x:v>
      </x:c>
      <x:c r="B179" s="15" t="str">
        <x:v>[Positive] Log daily steps</x:v>
      </x:c>
      <x:c r="C179" s="15" t="str">
        <x:v>Not executed in this production QA round.</x:v>
      </x:c>
      <x:c r="D179" s="15" t="str">
        <x:v>Steps save for the selected date and summary updates.</x:v>
      </x:c>
      <x:c r="E179" s="127" t="str">
        <x:v>Not Tested</x:v>
      </x:c>
      <x:c r="F179" s="15" t="str">
        <x:v>Body &gt; Steps &gt; enter valid steps &gt; Save.</x:v>
      </x:c>
      <x:c r="G179" s="20" t="str">
        <x:v>12-Jun-2026</x:v>
      </x:c>
    </x:row>
    <x:row r="180" ht="52" customHeight="1">
      <x:c r="A180" s="14" t="str">
        <x:v>Body Tracking</x:v>
      </x:c>
      <x:c r="B180" s="15" t="str">
        <x:v>[Negative] Log negative steps</x:v>
      </x:c>
      <x:c r="C180" s="15" t="str">
        <x:v>Not executed in this production QA round.</x:v>
      </x:c>
      <x:c r="D180" s="15" t="str">
        <x:v>Validation blocks negative steps.</x:v>
      </x:c>
      <x:c r="E180" s="127" t="str">
        <x:v>Not Tested</x:v>
      </x:c>
      <x:c r="F180" s="15" t="str">
        <x:v>Enter negative steps &gt; Save.</x:v>
      </x:c>
      <x:c r="G180" s="20" t="str">
        <x:v>12-Jun-2026</x:v>
      </x:c>
    </x:row>
    <x:row r="181" ht="52" customHeight="1">
      <x:c r="A181" s="14" t="str">
        <x:v>Body Tracking</x:v>
      </x:c>
      <x:c r="B181" s="15" t="str">
        <x:v>[Positive] View weight, water, and steps trends</x:v>
      </x:c>
      <x:c r="C181" s="15" t="str">
        <x:v>Automated backend CRUD/integration coverage passed, but this complete browser/UI scenario was not executed.</x:v>
      </x:c>
      <x:c r="D181" s="15" t="str">
        <x:v>Charts match stored range data and dates.</x:v>
      </x:c>
      <x:c r="E181" s="127" t="str">
        <x:v>Not Tested</x:v>
      </x:c>
      <x:c r="F181" s="15" t="str">
        <x:v>Create several dated logs &gt; inspect charts.</x:v>
      </x:c>
      <x:c r="G181" s="20" t="str">
        <x:v>12-Jun-2026</x:v>
      </x:c>
    </x:row>
    <x:row r="182" ht="52" customHeight="1">
      <x:c r="A182" s="14" t="str">
        <x:v>Body Tracking</x:v>
      </x:c>
      <x:c r="B182" s="15" t="str">
        <x:v>[Edge] View Body with no historical data</x:v>
      </x:c>
      <x:c r="C182" s="15" t="str">
        <x:v>Not executed in this production QA round.</x:v>
      </x:c>
      <x:c r="D182" s="15" t="str">
        <x:v>Useful empty state appears and charts do not break.</x:v>
      </x:c>
      <x:c r="E182" s="127" t="str">
        <x:v>Not Tested</x:v>
      </x:c>
      <x:c r="F182" s="15" t="str">
        <x:v>Open Body with a fresh account.</x:v>
      </x:c>
      <x:c r="G182" s="20" t="str">
        <x:v>12-Jun-2026</x:v>
      </x:c>
    </x:row>
    <x:row r="183" ht="52" customHeight="1">
      <x:c r="A183" s="14" t="str">
        <x:v>Clinical Tracking</x:v>
      </x:c>
      <x:c r="B183" s="15" t="str">
        <x:v>[Positive] Log fasting glucose</x:v>
      </x:c>
      <x:c r="C183" s="15" t="str">
        <x:v>Automated backend CRUD/integration coverage passed, but this complete browser/UI scenario was not executed.</x:v>
      </x:c>
      <x:c r="D183" s="15" t="str">
        <x:v>Value, context, date/time, and trend save correctly.</x:v>
      </x:c>
      <x:c r="E183" s="127" t="str">
        <x:v>Not Tested</x:v>
      </x:c>
      <x:c r="F183" s="15" t="str">
        <x:v>Tools &gt; Clinical &gt; Glucose &gt; enter valid fasting result &gt; Save.</x:v>
      </x:c>
      <x:c r="G183" s="20" t="str">
        <x:v>12-Jun-2026</x:v>
      </x:c>
    </x:row>
    <x:row r="184" ht="52" customHeight="1">
      <x:c r="A184" s="14" t="str">
        <x:v>Clinical Tracking</x:v>
      </x:c>
      <x:c r="B184" s="15" t="str">
        <x:v>[Positive] Log post-meal glucose</x:v>
      </x:c>
      <x:c r="C184" s="15" t="str">
        <x:v>Automated backend CRUD/integration coverage passed, but this complete browser/UI scenario was not executed.</x:v>
      </x:c>
      <x:c r="D184" s="15" t="str">
        <x:v>Meal timing/context is preserved and chart updates.</x:v>
      </x:c>
      <x:c r="E184" s="127" t="str">
        <x:v>Not Tested</x:v>
      </x:c>
      <x:c r="F184" s="15" t="str">
        <x:v>Log glucose with post-meal context.</x:v>
      </x:c>
      <x:c r="G184" s="20" t="str">
        <x:v>12-Jun-2026</x:v>
      </x:c>
    </x:row>
    <x:row r="185" ht="52" customHeight="1">
      <x:c r="A185" s="14" t="str">
        <x:v>Clinical Tracking</x:v>
      </x:c>
      <x:c r="B185" s="15" t="str">
        <x:v>[Boundary] Log glucose at allowed minimum and maximum</x:v>
      </x:c>
      <x:c r="C185" s="15" t="str">
        <x:v>Not executed in this production QA round.</x:v>
      </x:c>
      <x:c r="D185" s="15" t="str">
        <x:v>Boundary values save and display without clipping.</x:v>
      </x:c>
      <x:c r="E185" s="127" t="str">
        <x:v>Not Tested</x:v>
      </x:c>
      <x:c r="F185" s="15" t="str">
        <x:v>Enter minimum; repeat with maximum.</x:v>
      </x:c>
      <x:c r="G185" s="20" t="str">
        <x:v>12-Jun-2026</x:v>
      </x:c>
    </x:row>
    <x:row r="186" ht="52" customHeight="1">
      <x:c r="A186" s="14" t="str">
        <x:v>Clinical Tracking</x:v>
      </x:c>
      <x:c r="B186" s="15" t="str">
        <x:v>[Negative] Log zero, negative, or non-numeric glucose</x:v>
      </x:c>
      <x:c r="C186" s="15" t="str">
        <x:v>Not executed in this production QA round.</x:v>
      </x:c>
      <x:c r="D186" s="15" t="str">
        <x:v>Validation prevents save.</x:v>
      </x:c>
      <x:c r="E186" s="127" t="str">
        <x:v>Not Tested</x:v>
      </x:c>
      <x:c r="F186" s="15" t="str">
        <x:v>Enter invalid glucose &gt; Save.</x:v>
      </x:c>
      <x:c r="G186" s="20" t="str">
        <x:v>12-Jun-2026</x:v>
      </x:c>
    </x:row>
    <x:row r="187" ht="52" customHeight="1">
      <x:c r="A187" s="14" t="str">
        <x:v>Clinical Tracking</x:v>
      </x:c>
      <x:c r="B187" s="15" t="str">
        <x:v>[Positive] Log blood pressure and pulse</x:v>
      </x:c>
      <x:c r="C187" s="15" t="str">
        <x:v>Automated backend CRUD/integration coverage passed, but this complete browser/UI scenario was not executed.</x:v>
      </x:c>
      <x:c r="D187" s="15" t="str">
        <x:v>Systolic, diastolic, pulse, date, and chart update.</x:v>
      </x:c>
      <x:c r="E187" s="127" t="str">
        <x:v>Not Tested</x:v>
      </x:c>
      <x:c r="F187" s="15" t="str">
        <x:v>Clinical &gt; Blood pressure &gt; enter valid values &gt; Save.</x:v>
      </x:c>
      <x:c r="G187" s="20" t="str">
        <x:v>12-Jun-2026</x:v>
      </x:c>
    </x:row>
    <x:row r="188" ht="52" customHeight="1">
      <x:c r="A188" s="14" t="str">
        <x:v>Clinical Tracking</x:v>
      </x:c>
      <x:c r="B188" s="15" t="str">
        <x:v>[Negative] Log diastolic greater than or equal to systolic</x:v>
      </x:c>
      <x:c r="C188" s="15" t="str">
        <x:v>Not executed in this production QA round.</x:v>
      </x:c>
      <x:c r="D188" s="15" t="str">
        <x:v>App warns or blocks physiologically invalid input.</x:v>
      </x:c>
      <x:c r="E188" s="127" t="str">
        <x:v>Not Tested</x:v>
      </x:c>
      <x:c r="F188" s="15" t="str">
        <x:v>Enter systolic lower than/equal to diastolic &gt; Save.</x:v>
      </x:c>
      <x:c r="G188" s="20" t="str">
        <x:v>12-Jun-2026</x:v>
      </x:c>
    </x:row>
    <x:row r="189" ht="52" customHeight="1">
      <x:c r="A189" s="14" t="str">
        <x:v>Clinical Tracking</x:v>
      </x:c>
      <x:c r="B189" s="15" t="str">
        <x:v>[Boundary] Log BP/pulse at allowed boundaries</x:v>
      </x:c>
      <x:c r="C189" s="15" t="str">
        <x:v>Not executed in this production QA round.</x:v>
      </x:c>
      <x:c r="D189" s="15" t="str">
        <x:v>Boundary values behave according to validation rules.</x:v>
      </x:c>
      <x:c r="E189" s="127" t="str">
        <x:v>Not Tested</x:v>
      </x:c>
      <x:c r="F189" s="15" t="str">
        <x:v>Enter documented min/max systolic, diastolic, and pulse.</x:v>
      </x:c>
      <x:c r="G189" s="20" t="str">
        <x:v>12-Jun-2026</x:v>
      </x:c>
    </x:row>
    <x:row r="190" ht="52" customHeight="1">
      <x:c r="A190" s="14" t="str">
        <x:v>Clinical Tracking</x:v>
      </x:c>
      <x:c r="B190" s="15" t="str">
        <x:v>[Positive] Log HbA1c</x:v>
      </x:c>
      <x:c r="C190" s="15" t="str">
        <x:v>Automated backend CRUD/integration coverage passed, but this complete browser/UI scenario was not executed.</x:v>
      </x:c>
      <x:c r="D190" s="15" t="str">
        <x:v>Quarterly value and trend save correctly.</x:v>
      </x:c>
      <x:c r="E190" s="127" t="str">
        <x:v>Not Tested</x:v>
      </x:c>
      <x:c r="F190" s="15" t="str">
        <x:v>Clinical &gt; HbA1c &gt; enter valid percentage/date &gt; Save.</x:v>
      </x:c>
      <x:c r="G190" s="20" t="str">
        <x:v>12-Jun-2026</x:v>
      </x:c>
    </x:row>
    <x:row r="191" ht="52" customHeight="1">
      <x:c r="A191" s="14" t="str">
        <x:v>Clinical Tracking</x:v>
      </x:c>
      <x:c r="B191" s="15" t="str">
        <x:v>[Negative] Log invalid HbA1c percentage</x:v>
      </x:c>
      <x:c r="C191" s="15" t="str">
        <x:v>Not executed in this production QA round.</x:v>
      </x:c>
      <x:c r="D191" s="15" t="str">
        <x:v>Out-of-range/negative input is rejected.</x:v>
      </x:c>
      <x:c r="E191" s="127" t="str">
        <x:v>Not Tested</x:v>
      </x:c>
      <x:c r="F191" s="15" t="str">
        <x:v>Enter invalid HbA1c &gt; Save.</x:v>
      </x:c>
      <x:c r="G191" s="20" t="str">
        <x:v>12-Jun-2026</x:v>
      </x:c>
    </x:row>
    <x:row r="192" ht="52" customHeight="1">
      <x:c r="A192" s="14" t="str">
        <x:v>Clinical Tracking</x:v>
      </x:c>
      <x:c r="B192" s="15" t="str">
        <x:v>[Positive] Log wellbeing or notes</x:v>
      </x:c>
      <x:c r="C192" s="15" t="str">
        <x:v>Not executed in this production QA round.</x:v>
      </x:c>
      <x:c r="D192" s="15" t="str">
        <x:v>Entry persists for the selected date.</x:v>
      </x:c>
      <x:c r="E192" s="127" t="str">
        <x:v>Not Tested</x:v>
      </x:c>
      <x:c r="F192" s="15" t="str">
        <x:v>Clinical &gt; Wellbeing &gt; enter allowed value/notes &gt; Save.</x:v>
      </x:c>
      <x:c r="G192" s="20" t="str">
        <x:v>12-Jun-2026</x:v>
      </x:c>
    </x:row>
    <x:row r="193" ht="52" customHeight="1">
      <x:c r="A193" s="14" t="str">
        <x:v>Clinical Tracking</x:v>
      </x:c>
      <x:c r="B193" s="15" t="str">
        <x:v>[Data Integrity] Clinical charts use only current user's records</x:v>
      </x:c>
      <x:c r="C193" s="15" t="str">
        <x:v>Not executed in this production QA round.</x:v>
      </x:c>
      <x:c r="D193" s="15" t="str">
        <x:v>No other user's data appears.</x:v>
      </x:c>
      <x:c r="E193" s="127" t="str">
        <x:v>Not Tested</x:v>
      </x:c>
      <x:c r="F193" s="15" t="str">
        <x:v>Compare two QA accounts with distinctive clinical logs.</x:v>
      </x:c>
      <x:c r="G193" s="20" t="str">
        <x:v>12-Jun-2026</x:v>
      </x:c>
    </x:row>
    <x:row r="194" ht="52" customHeight="1">
      <x:c r="A194" s="14" t="str">
        <x:v>Clinical Tracking</x:v>
      </x:c>
      <x:c r="B194" s="15" t="str">
        <x:v>[Edge] Open Clinical with no data</x:v>
      </x:c>
      <x:c r="C194" s="15" t="str">
        <x:v>Not executed in this production QA round.</x:v>
      </x:c>
      <x:c r="D194" s="15" t="str">
        <x:v>Empty states render without chart errors.</x:v>
      </x:c>
      <x:c r="E194" s="127" t="str">
        <x:v>Not Tested</x:v>
      </x:c>
      <x:c r="F194" s="15" t="str">
        <x:v>Use fresh account &gt; open Clinical.</x:v>
      </x:c>
      <x:c r="G194" s="20" t="str">
        <x:v>12-Jun-2026</x:v>
      </x:c>
    </x:row>
    <x:row r="195" ht="52" customHeight="1">
      <x:c r="A195" s="14" t="str">
        <x:v>Medications</x:v>
      </x:c>
      <x:c r="B195" s="15" t="str">
        <x:v>[Positive] Create a medication</x:v>
      </x:c>
      <x:c r="C195" s="15" t="str">
        <x:v>Blocked: medication management is Pro-only for the available QA account.</x:v>
      </x:c>
      <x:c r="D195" s="15" t="str">
        <x:v>Medication name, dose, schedule, and start information save.</x:v>
      </x:c>
      <x:c r="E195" s="128" t="str">
        <x:v>Blocked</x:v>
      </x:c>
      <x:c r="F195" s="15" t="str">
        <x:v>Tools &gt; Medications &gt; add valid medication details &gt; Save.</x:v>
      </x:c>
      <x:c r="G195" s="20" t="str">
        <x:v>12-Jun-2026</x:v>
      </x:c>
    </x:row>
    <x:row r="196" ht="52" customHeight="1">
      <x:c r="A196" s="14" t="str">
        <x:v>Medications</x:v>
      </x:c>
      <x:c r="B196" s="15" t="str">
        <x:v>[Negative] Save medication without required fields</x:v>
      </x:c>
      <x:c r="C196" s="15" t="str">
        <x:v>Blocked: medication management is Pro-only for the available QA account.</x:v>
      </x:c>
      <x:c r="D196" s="15" t="str">
        <x:v>Validation blocks incomplete medication.</x:v>
      </x:c>
      <x:c r="E196" s="128" t="str">
        <x:v>Blocked</x:v>
      </x:c>
      <x:c r="F196" s="15" t="str">
        <x:v>Leave medication name/dose/schedule empty &gt; Save.</x:v>
      </x:c>
      <x:c r="G196" s="20" t="str">
        <x:v>12-Jun-2026</x:v>
      </x:c>
    </x:row>
    <x:row r="197" ht="52" customHeight="1">
      <x:c r="A197" s="14" t="str">
        <x:v>Medications</x:v>
      </x:c>
      <x:c r="B197" s="15" t="str">
        <x:v>[Positive] Mark medication taken for today</x:v>
      </x:c>
      <x:c r="C197" s="15" t="str">
        <x:v>Blocked: medication management is Pro-only for the available QA account.</x:v>
      </x:c>
      <x:c r="D197" s="15" t="str">
        <x:v>Daily adherence and streak update once.</x:v>
      </x:c>
      <x:c r="E197" s="128" t="str">
        <x:v>Blocked</x:v>
      </x:c>
      <x:c r="F197" s="15" t="str">
        <x:v>Open medication &gt; mark Taken.</x:v>
      </x:c>
      <x:c r="G197" s="20" t="str">
        <x:v>12-Jun-2026</x:v>
      </x:c>
    </x:row>
    <x:row r="198" ht="52" customHeight="1">
      <x:c r="A198" s="14" t="str">
        <x:v>Medications</x:v>
      </x:c>
      <x:c r="B198" s="15" t="str">
        <x:v>[Edge] Mark the same medication taken twice</x:v>
      </x:c>
      <x:c r="C198" s="15" t="str">
        <x:v>Blocked: medication management is Pro-only for the available QA account.</x:v>
      </x:c>
      <x:c r="D198" s="15" t="str">
        <x:v>Duplicate daily adherence is prevented.</x:v>
      </x:c>
      <x:c r="E198" s="128" t="str">
        <x:v>Blocked</x:v>
      </x:c>
      <x:c r="F198" s="15" t="str">
        <x:v>Mark Taken &gt; repeat the same action.</x:v>
      </x:c>
      <x:c r="G198" s="20" t="str">
        <x:v>12-Jun-2026</x:v>
      </x:c>
    </x:row>
    <x:row r="199" ht="52" customHeight="1">
      <x:c r="A199" s="14" t="str">
        <x:v>Medications</x:v>
      </x:c>
      <x:c r="B199" s="15" t="str">
        <x:v>[Positive] Undo or correct today's medication status</x:v>
      </x:c>
      <x:c r="C199" s="15" t="str">
        <x:v>Blocked: medication management is Pro-only for the available QA account.</x:v>
      </x:c>
      <x:c r="D199" s="15" t="str">
        <x:v>Documented correction updates adherence consistently.</x:v>
      </x:c>
      <x:c r="E199" s="128" t="str">
        <x:v>Blocked</x:v>
      </x:c>
      <x:c r="F199" s="15" t="str">
        <x:v>Mark medication &gt; use available correction action.</x:v>
      </x:c>
      <x:c r="G199" s="20" t="str">
        <x:v>12-Jun-2026</x:v>
      </x:c>
    </x:row>
    <x:row r="200" ht="52" customHeight="1">
      <x:c r="A200" s="14" t="str">
        <x:v>Medications</x:v>
      </x:c>
      <x:c r="B200" s="15" t="str">
        <x:v>[Positive] Edit a medication</x:v>
      </x:c>
      <x:c r="C200" s="15" t="str">
        <x:v>Blocked: medication management is Pro-only for the available QA account.</x:v>
      </x:c>
      <x:c r="D200" s="15" t="str">
        <x:v>Updated medication details persist.</x:v>
      </x:c>
      <x:c r="E200" s="128" t="str">
        <x:v>Blocked</x:v>
      </x:c>
      <x:c r="F200" s="15" t="str">
        <x:v>Open medication &gt; Edit &gt; Save.</x:v>
      </x:c>
      <x:c r="G200" s="20" t="str">
        <x:v>12-Jun-2026</x:v>
      </x:c>
    </x:row>
    <x:row r="201" ht="52" customHeight="1">
      <x:c r="A201" s="14" t="str">
        <x:v>Medications</x:v>
      </x:c>
      <x:c r="B201" s="15" t="str">
        <x:v>[Positive] Delete a medication</x:v>
      </x:c>
      <x:c r="C201" s="15" t="str">
        <x:v>Blocked: medication management is Pro-only for the available QA account.</x:v>
      </x:c>
      <x:c r="D201" s="15" t="str">
        <x:v>Medication is removed with clear handling of historical adherence.</x:v>
      </x:c>
      <x:c r="E201" s="128" t="str">
        <x:v>Blocked</x:v>
      </x:c>
      <x:c r="F201" s="15" t="str">
        <x:v>Delete medication &gt; confirm.</x:v>
      </x:c>
      <x:c r="G201" s="20" t="str">
        <x:v>12-Jun-2026</x:v>
      </x:c>
    </x:row>
    <x:row r="202" ht="52" customHeight="1">
      <x:c r="A202" s="14" t="str">
        <x:v>Medications</x:v>
      </x:c>
      <x:c r="B202" s="15" t="str">
        <x:v>[Negative] Core user opens medication logging</x:v>
      </x:c>
      <x:c r="C202" s="15" t="str">
        <x:v>Production Core account was denied medication logging and shown a clear Pro feature explanation.</x:v>
      </x:c>
      <x:c r="D202" s="15" t="str">
        <x:v>Visible upgrade prompt appears without exposing paid data.</x:v>
      </x:c>
      <x:c r="E202" s="126" t="str">
        <x:v>Pass</x:v>
      </x:c>
      <x:c r="F202" s="15" t="str">
        <x:v>Use Core account &gt; Tools &gt; Medications.</x:v>
      </x:c>
      <x:c r="G202" s="20" t="str">
        <x:v>12-Jun-2026</x:v>
      </x:c>
    </x:row>
    <x:row r="203" ht="52" customHeight="1">
      <x:c r="A203" s="14" t="str">
        <x:v>Reports</x:v>
      </x:c>
      <x:c r="B203" s="15" t="str">
        <x:v>[Positive] Generate a weekly report for a selected week</x:v>
      </x:c>
      <x:c r="C203" s="15" t="str">
        <x:v>Production: Weekly report loaded the selected current week; backend regression verified weekly aggregation.</x:v>
      </x:c>
      <x:c r="D203" s="15" t="str">
        <x:v>Report reflects exactly the selected week's meals and health logs.</x:v>
      </x:c>
      <x:c r="E203" s="126" t="str">
        <x:v>Pass</x:v>
      </x:c>
      <x:c r="F203" s="15" t="str">
        <x:v>Open Reports &gt; Weekly &gt; choose a week.</x:v>
      </x:c>
      <x:c r="G203" s="20" t="str">
        <x:v>12-Jun-2026</x:v>
      </x:c>
    </x:row>
    <x:row r="204" ht="52" customHeight="1">
      <x:c r="A204" s="14" t="str">
        <x:v>Reports</x:v>
      </x:c>
      <x:c r="B204" s="15" t="str">
        <x:v>[Positive] Generate a monthly report for a selected month</x:v>
      </x:c>
      <x:c r="C204" s="15" t="str">
        <x:v>Production: Monthly selection changed the month picker, heading, and range; backend regression verified monthly aggregation.</x:v>
      </x:c>
      <x:c r="D204" s="15" t="str">
        <x:v>Report reflects exactly the selected month and labels it monthly.</x:v>
      </x:c>
      <x:c r="E204" s="126" t="str">
        <x:v>Pass</x:v>
      </x:c>
      <x:c r="F204" s="15" t="str">
        <x:v>Reports &gt; Monthly &gt; choose month.</x:v>
      </x:c>
      <x:c r="G204" s="20" t="str">
        <x:v>12-Jun-2026</x:v>
      </x:c>
    </x:row>
    <x:row r="205" ht="52" customHeight="1">
      <x:c r="A205" s="14" t="str">
        <x:v>Reports</x:v>
      </x:c>
      <x:c r="B205" s="15" t="str">
        <x:v>[Positive] Generate a custom-date report</x:v>
      </x:c>
      <x:c r="C205" s="15" t="str">
        <x:v>Production: editing Custom From/To dates did not refresh the generated report range, which remained at the previous 30-day range.</x:v>
      </x:c>
      <x:c r="D205" s="15" t="str">
        <x:v>Only records inside the inclusive date range are summarized.</x:v>
      </x:c>
      <x:c r="E205" s="129" t="str">
        <x:v>Fail</x:v>
      </x:c>
      <x:c r="F205" s="15" t="str">
        <x:v>Reports &gt; Custom &gt; choose From and To dates.</x:v>
      </x:c>
      <x:c r="G205" s="20" t="str">
        <x:v>12-Jun-2026</x:v>
      </x:c>
    </x:row>
    <x:row r="206" ht="52" customHeight="1">
      <x:c r="A206" s="14" t="str">
        <x:v>Reports</x:v>
      </x:c>
      <x:c r="B206" s="15" t="str">
        <x:v>[Negative] Choose a custom From date after To date</x:v>
      </x:c>
      <x:c r="C206" s="15" t="str">
        <x:v>Production: From later than To showed no clear validation message and retained the old generated report.</x:v>
      </x:c>
      <x:c r="D206" s="15" t="str">
        <x:v>Generate is blocked with date-range validation.</x:v>
      </x:c>
      <x:c r="E206" s="129" t="str">
        <x:v>Fail</x:v>
      </x:c>
      <x:c r="F206" s="15" t="str">
        <x:v>Set From later than To &gt; Generate.</x:v>
      </x:c>
      <x:c r="G206" s="20" t="str">
        <x:v>12-Jun-2026</x:v>
      </x:c>
    </x:row>
    <x:row r="207" ht="52" customHeight="1">
      <x:c r="A207" s="14" t="str">
        <x:v>Reports</x:v>
      </x:c>
      <x:c r="B207" s="15" t="str">
        <x:v>[Boundary] Generate a one-day custom report</x:v>
      </x:c>
      <x:c r="C207" s="15" t="str">
        <x:v>Production: setting From and To to the same date did not update the generated report to that day.</x:v>
      </x:c>
      <x:c r="D207" s="15" t="str">
        <x:v>The selected day is included once and totals are correct.</x:v>
      </x:c>
      <x:c r="E207" s="129" t="str">
        <x:v>Fail</x:v>
      </x:c>
      <x:c r="F207" s="15" t="str">
        <x:v>Set From and To to the same date.</x:v>
      </x:c>
      <x:c r="G207" s="20" t="str">
        <x:v>12-Jun-2026</x:v>
      </x:c>
    </x:row>
    <x:row r="208" ht="52" customHeight="1">
      <x:c r="A208" s="14" t="str">
        <x:v>Reports</x:v>
      </x:c>
      <x:c r="B208" s="15" t="str">
        <x:v>[Edge] Generate a report with no data</x:v>
      </x:c>
      <x:c r="C208" s="15" t="str">
        <x:v>Production: a report with no health logs rendered zero/not-logged states without NaN or broken chart headings.</x:v>
      </x:c>
      <x:c r="D208" s="15" t="str">
        <x:v>Report shows a clear no-data state and no NaN/empty chart errors.</x:v>
      </x:c>
      <x:c r="E208" s="126" t="str">
        <x:v>Pass</x:v>
      </x:c>
      <x:c r="F208" s="15" t="str">
        <x:v>Select a period with no logs.</x:v>
      </x:c>
      <x:c r="G208" s="20" t="str">
        <x:v>12-Jun-2026</x:v>
      </x:c>
    </x:row>
    <x:row r="209" ht="52" customHeight="1">
      <x:c r="A209" s="14" t="str">
        <x:v>Reports</x:v>
      </x:c>
      <x:c r="B209" s="15" t="str">
        <x:v>[Data Integrity] Compare report totals with source logs</x:v>
      </x:c>
      <x:c r="C209" s="15" t="str">
        <x:v>Automated backend regression verified weekly, monthly, and custom report aggregation against seeded source logs.</x:v>
      </x:c>
      <x:c r="D209" s="15" t="str">
        <x:v>Meal, glucose, weight, BP, hydration, medication, and adherence totals reconcile.</x:v>
      </x:c>
      <x:c r="E209" s="126" t="str">
        <x:v>Pass</x:v>
      </x:c>
      <x:c r="F209" s="15" t="str">
        <x:v>Create known data &gt; generate matching report &gt; compare.</x:v>
      </x:c>
      <x:c r="G209" s="20" t="str">
        <x:v>12-Jun-2026</x:v>
      </x:c>
    </x:row>
    <x:row r="210" ht="52" customHeight="1">
      <x:c r="A210" s="14" t="str">
        <x:v>Reports</x:v>
      </x:c>
      <x:c r="B210" s="15" t="str">
        <x:v>[Positive] Download doctor-ready PDF</x:v>
      </x:c>
      <x:c r="C210" s="15" t="str">
        <x:v>Blocked: production browser download verification was not available for the PDF.</x:v>
      </x:c>
      <x:c r="D210" s="15" t="str">
        <x:v>A readable PDF downloads with the selected period and current user data.</x:v>
      </x:c>
      <x:c r="E210" s="128" t="str">
        <x:v>Blocked</x:v>
      </x:c>
      <x:c r="F210" s="15" t="str">
        <x:v>Generate report &gt; Download PDF &gt; open file.</x:v>
      </x:c>
      <x:c r="G210" s="20" t="str">
        <x:v>12-Jun-2026</x:v>
      </x:c>
    </x:row>
    <x:row r="211" ht="52" customHeight="1">
      <x:c r="A211" s="14" t="str">
        <x:v>Reports</x:v>
      </x:c>
      <x:c r="B211" s="15" t="str">
        <x:v>[Positive] Send test/weekly summary when email provider is configured</x:v>
      </x:c>
      <x:c r="C211" s="15" t="str">
        <x:v>Blocked: an external email was not sent during this QA round.</x:v>
      </x:c>
      <x:c r="D211" s="15" t="str">
        <x:v>Email is delivered to the profile email with correct report period.</x:v>
      </x:c>
      <x:c r="E211" s="128" t="str">
        <x:v>Blocked</x:v>
      </x:c>
      <x:c r="F211" s="15" t="str">
        <x:v>Enable Sunday summary &gt; trigger configured send/test process.</x:v>
      </x:c>
      <x:c r="G211" s="20" t="str">
        <x:v>12-Jun-2026</x:v>
      </x:c>
    </x:row>
    <x:row r="212" ht="52" customHeight="1">
      <x:c r="A212" s="14" t="str">
        <x:v>Reports</x:v>
      </x:c>
      <x:c r="B212" s="15" t="str">
        <x:v>[Negative] Send email without provider configuration</x:v>
      </x:c>
      <x:c r="C212" s="15" t="str">
        <x:v>Blocked: production email configuration was not removed for a negative test.</x:v>
      </x:c>
      <x:c r="D212" s="15" t="str">
        <x:v>Clear configuration error appears without losing the report.</x:v>
      </x:c>
      <x:c r="E212" s="128" t="str">
        <x:v>Blocked</x:v>
      </x:c>
      <x:c r="F212" s="15" t="str">
        <x:v>Remove/omit RESEND_API_KEY &gt; attempt send.</x:v>
      </x:c>
      <x:c r="G212" s="20" t="str">
        <x:v>12-Jun-2026</x:v>
      </x:c>
    </x:row>
    <x:row r="213" ht="52" customHeight="1">
      <x:c r="A213" s="14" t="str">
        <x:v>Reports</x:v>
      </x:c>
      <x:c r="B213" s="15" t="str">
        <x:v>[Edge] Switch from weekly to monthly mode</x:v>
      </x:c>
      <x:c r="C213" s="15" t="str">
        <x:v>Production: switching Weekly to Monthly updated the picker, 'month' summary label, heading, and date range without stale weekly text.</x:v>
      </x:c>
      <x:c r="D213" s="15" t="str">
        <x:v>All headings and email/report labels change to monthly; no stale weekly text remains.</x:v>
      </x:c>
      <x:c r="E213" s="126" t="str">
        <x:v>Pass</x:v>
      </x:c>
      <x:c r="F213" s="15" t="str">
        <x:v>Select Weekly &gt; switch to Monthly &gt; inspect page.</x:v>
      </x:c>
      <x:c r="G213" s="20" t="str">
        <x:v>12-Jun-2026</x:v>
      </x:c>
    </x:row>
    <x:row r="214" ht="52" customHeight="1">
      <x:c r="A214" s="14" t="str">
        <x:v>Reports</x:v>
      </x:c>
      <x:c r="B214" s="15" t="str">
        <x:v>[Security] Open export/report URL without authentication</x:v>
      </x:c>
      <x:c r="C214" s="15" t="str">
        <x:v>Not executed in this production QA round.</x:v>
      </x:c>
      <x:c r="D214" s="15" t="str">
        <x:v>Request is rejected and no health data is returned.</x:v>
      </x:c>
      <x:c r="E214" s="127" t="str">
        <x:v>Not Tested</x:v>
      </x:c>
      <x:c r="F214" s="15" t="str">
        <x:v>Sign out &gt; call report/export endpoint directly.</x:v>
      </x:c>
      <x:c r="G214" s="20" t="str">
        <x:v>12-Jun-2026</x:v>
      </x:c>
    </x:row>
    <x:row r="215" ht="52" customHeight="1">
      <x:c r="A215" s="14" t="str">
        <x:v>Mobile &amp; Responsive UI</x:v>
      </x:c>
      <x:c r="B215" s="15" t="str">
        <x:v>[Positive] Use all main pages at 390x844</x:v>
      </x:c>
      <x:c r="C215" s="15" t="str">
        <x:v>Not executed in this production QA round.</x:v>
      </x:c>
      <x:c r="D215" s="15" t="str">
        <x:v>No controls, headings, buttons, dialogs, or navigation overlap or clip.</x:v>
      </x:c>
      <x:c r="E215" s="127" t="str">
        <x:v>Not Tested</x:v>
      </x:c>
      <x:c r="F215" s="15" t="str">
        <x:v>Set mobile viewport &gt; inspect Today, Add Food, Coach, Reports, Tools, Profile, Goals.</x:v>
      </x:c>
      <x:c r="G215" s="20" t="str">
        <x:v>12-Jun-2026</x:v>
      </x:c>
    </x:row>
    <x:row r="216" ht="52" customHeight="1">
      <x:c r="A216" s="14" t="str">
        <x:v>Mobile &amp; Responsive UI</x:v>
      </x:c>
      <x:c r="B216" s="15" t="str">
        <x:v>[Edge] Rotate between portrait and landscape</x:v>
      </x:c>
      <x:c r="C216" s="15" t="str">
        <x:v>Blocked: physical device rotation was unavailable.</x:v>
      </x:c>
      <x:c r="D216" s="15" t="str">
        <x:v>Layout reflows without losing entered form data.</x:v>
      </x:c>
      <x:c r="E216" s="128" t="str">
        <x:v>Blocked</x:v>
      </x:c>
      <x:c r="F216" s="15" t="str">
        <x:v>Begin entering data &gt; rotate viewport &gt; continue.</x:v>
      </x:c>
      <x:c r="G216" s="20" t="str">
        <x:v>12-Jun-2026</x:v>
      </x:c>
    </x:row>
    <x:row r="217" ht="52" customHeight="1">
      <x:c r="A217" s="14" t="str">
        <x:v>Mobile &amp; Responsive UI</x:v>
      </x:c>
      <x:c r="B217" s="15" t="str">
        <x:v>[Positive] Use touch targets for tabs, icons, and buttons</x:v>
      </x:c>
      <x:c r="C217" s="15" t="str">
        <x:v>Not executed in this production QA round.</x:v>
      </x:c>
      <x:c r="D217" s="15" t="str">
        <x:v>Controls are consistently sized and easy to tap.</x:v>
      </x:c>
      <x:c r="E217" s="127" t="str">
        <x:v>Not Tested</x:v>
      </x:c>
      <x:c r="F217" s="15" t="str">
        <x:v>Inspect/tap all primary and scan controls on mobile.</x:v>
      </x:c>
      <x:c r="G217" s="20" t="str">
        <x:v>12-Jun-2026</x:v>
      </x:c>
    </x:row>
    <x:row r="218" ht="52" customHeight="1">
      <x:c r="A218" s="14" t="str">
        <x:v>Mobile &amp; Responsive UI</x:v>
      </x:c>
      <x:c r="B218" s="15" t="str">
        <x:v>[Edge] Open on narrow 320px viewport</x:v>
      </x:c>
      <x:c r="C218" s="15" t="str">
        <x:v>Partial production check only: Login at 320x700 had no horizontal overflow; other critical pages were not fully inspected.</x:v>
      </x:c>
      <x:c r="D218" s="15" t="str">
        <x:v>Longest words and buttons remain inside their containers.</x:v>
      </x:c>
      <x:c r="E218" s="127" t="str">
        <x:v>Not Tested</x:v>
      </x:c>
      <x:c r="F218" s="15" t="str">
        <x:v>Set viewport to 320px width &gt; inspect critical pages.</x:v>
      </x:c>
      <x:c r="G218" s="20" t="str">
        <x:v>12-Jun-2026</x:v>
      </x:c>
    </x:row>
    <x:row r="219" ht="52" customHeight="1">
      <x:c r="A219" s="14" t="str">
        <x:v>Browser Compatibility</x:v>
      </x:c>
      <x:c r="B219" s="15" t="str">
        <x:v>[Positive] Run core journey in Chrome/Chromium</x:v>
      </x:c>
      <x:c r="C219" s="15" t="str">
        <x:v>Production Chromium core journey exposed two blockers: Today meal add did not complete and saved Goals did not synchronize to Today.</x:v>
      </x:c>
      <x:c r="D219" s="15" t="str">
        <x:v>Registration, login, meal logging, goals, and reports work.</x:v>
      </x:c>
      <x:c r="E219" s="129" t="str">
        <x:v>Fail</x:v>
      </x:c>
      <x:c r="F219" s="15" t="str">
        <x:v>Execute smoke journey in current Chrome/Chromium.</x:v>
      </x:c>
      <x:c r="G219" s="20" t="str">
        <x:v>12-Jun-2026</x:v>
      </x:c>
    </x:row>
    <x:row r="220" ht="52" customHeight="1">
      <x:c r="A220" s="14" t="str">
        <x:v>Browser Compatibility</x:v>
      </x:c>
      <x:c r="B220" s="15" t="str">
        <x:v>[Positive] Run core journey in iPhone Safari</x:v>
      </x:c>
      <x:c r="C220" s="15" t="str">
        <x:v>Blocked: no physical or remote iPhone Safari environment was available.</x:v>
      </x:c>
      <x:c r="D220" s="15" t="str">
        <x:v>Core journey works; camera/file controls use supported fallback.</x:v>
      </x:c>
      <x:c r="E220" s="128" t="str">
        <x:v>Blocked</x:v>
      </x:c>
      <x:c r="F220" s="15" t="str">
        <x:v>Execute smoke journey on iPhone Safari.</x:v>
      </x:c>
      <x:c r="G220" s="20" t="str">
        <x:v>12-Jun-2026</x:v>
      </x:c>
    </x:row>
    <x:row r="221" ht="52" customHeight="1">
      <x:c r="A221" s="14" t="str">
        <x:v>Browser Compatibility</x:v>
      </x:c>
      <x:c r="B221" s="15" t="str">
        <x:v>[Positive] Run core journey in Android Chrome</x:v>
      </x:c>
      <x:c r="C221" s="15" t="str">
        <x:v>Blocked: no physical or remote Android Chrome environment was available.</x:v>
      </x:c>
      <x:c r="D221" s="15" t="str">
        <x:v>Core journey and responsive navigation work.</x:v>
      </x:c>
      <x:c r="E221" s="128" t="str">
        <x:v>Blocked</x:v>
      </x:c>
      <x:c r="F221" s="15" t="str">
        <x:v>Execute smoke journey on Android Chrome.</x:v>
      </x:c>
      <x:c r="G221" s="20" t="str">
        <x:v>12-Jun-2026</x:v>
      </x:c>
    </x:row>
    <x:row r="222" ht="52" customHeight="1">
      <x:c r="A222" s="14" t="str">
        <x:v>PWA</x:v>
      </x:c>
      <x:c r="B222" s="15" t="str">
        <x:v>[Positive] Install app from browser</x:v>
      </x:c>
      <x:c r="C222" s="15" t="str">
        <x:v>Blocked: the in-app browser does not expose the operating-system PWA install flow.</x:v>
      </x:c>
      <x:c r="D222" s="15" t="str">
        <x:v>Manifest, icons, name, start URL, theme, and standalone display are correct.</x:v>
      </x:c>
      <x:c r="E222" s="128" t="str">
        <x:v>Blocked</x:v>
      </x:c>
      <x:c r="F222" s="15" t="str">
        <x:v>Open install-capable browser &gt; install VitaNudge &gt; launch.</x:v>
      </x:c>
      <x:c r="G222" s="20" t="str">
        <x:v>12-Jun-2026</x:v>
      </x:c>
    </x:row>
    <x:row r="223" ht="52" customHeight="1">
      <x:c r="A223" s="14" t="str">
        <x:v>PWA</x:v>
      </x:c>
      <x:c r="B223" s="15" t="str">
        <x:v>[Edge] Launch installed PWA while offline</x:v>
      </x:c>
      <x:c r="C223" s="15" t="str">
        <x:v>Blocked: an installed PWA and offline device mode were unavailable.</x:v>
      </x:c>
      <x:c r="D223" s="15" t="str">
        <x:v>App shows documented offline behavior rather than a blank page.</x:v>
      </x:c>
      <x:c r="E223" s="128" t="str">
        <x:v>Blocked</x:v>
      </x:c>
      <x:c r="F223" s="15" t="str">
        <x:v>Install PWA &gt; disconnect network &gt; launch.</x:v>
      </x:c>
      <x:c r="G223" s="20" t="str">
        <x:v>12-Jun-2026</x:v>
      </x:c>
    </x:row>
    <x:row r="224" ht="52" customHeight="1">
      <x:c r="A224" s="14" t="str">
        <x:v>Security &amp; Data Protection</x:v>
      </x:c>
      <x:c r="B224" s="15" t="str">
        <x:v>[Security] Reject API request without token</x:v>
      </x:c>
      <x:c r="C224" s="15" t="str">
        <x:v>Production API: GET /api/auth/me without Authorization returned 401 and 'No token provided'.</x:v>
      </x:c>
      <x:c r="D224" s="15" t="str">
        <x:v>Protected endpoint returns 401 and no data.</x:v>
      </x:c>
      <x:c r="E224" s="126" t="str">
        <x:v>Pass</x:v>
      </x:c>
      <x:c r="F224" s="15" t="str">
        <x:v>Call meals/goals/profile endpoint without Authorization.</x:v>
      </x:c>
      <x:c r="G224" s="20" t="str">
        <x:v>12-Jun-2026</x:v>
      </x:c>
    </x:row>
    <x:row r="225" ht="52" customHeight="1">
      <x:c r="A225" s="14" t="str">
        <x:v>Security &amp; Data Protection</x:v>
      </x:c>
      <x:c r="B225" s="15" t="str">
        <x:v>[Security] Reject malformed or expired token</x:v>
      </x:c>
      <x:c r="C225" s="15" t="str">
        <x:v>Production API: a malformed bearer token returned 401 and 'Invalid or expired token'.</x:v>
      </x:c>
      <x:c r="D225" s="15" t="str">
        <x:v>Request returns 401 without server crash.</x:v>
      </x:c>
      <x:c r="E225" s="126" t="str">
        <x:v>Pass</x:v>
      </x:c>
      <x:c r="F225" s="15" t="str">
        <x:v>Call protected endpoint with malformed/expired JWT.</x:v>
      </x:c>
      <x:c r="G225" s="20" t="str">
        <x:v>12-Jun-2026</x:v>
      </x:c>
    </x:row>
    <x:row r="226" ht="52" customHeight="1">
      <x:c r="A226" s="14" t="str">
        <x:v>Security &amp; Data Protection</x:v>
      </x:c>
      <x:c r="B226" s="15" t="str">
        <x:v>[Security] Prevent cross-user record access</x:v>
      </x:c>
      <x:c r="C226" s="15" t="str">
        <x:v>Not executed in this production QA round.</x:v>
      </x:c>
      <x:c r="D226" s="15" t="str">
        <x:v>A user cannot read, edit, or delete another user's records by ID.</x:v>
      </x:c>
      <x:c r="E226" s="127" t="str">
        <x:v>Not Tested</x:v>
      </x:c>
      <x:c r="F226" s="15" t="str">
        <x:v>Create data in Account A &gt; attempt access using Account B.</x:v>
      </x:c>
      <x:c r="G226" s="20" t="str">
        <x:v>12-Jun-2026</x:v>
      </x:c>
    </x:row>
    <x:row r="227" ht="52" customHeight="1">
      <x:c r="A227" s="14" t="str">
        <x:v>Security &amp; Data Protection</x:v>
      </x:c>
      <x:c r="B227" s="15" t="str">
        <x:v>[Security] Sanitize script content in names and notes</x:v>
      </x:c>
      <x:c r="C227" s="15" t="str">
        <x:v>Not executed in this production QA round.</x:v>
      </x:c>
      <x:c r="D227" s="15" t="str">
        <x:v>Content is stored/rendered as text and no script executes.</x:v>
      </x:c>
      <x:c r="E227" s="127" t="str">
        <x:v>Not Tested</x:v>
      </x:c>
      <x:c r="F227" s="15" t="str">
        <x:v>Enter HTML/script payload in allowed text fields &gt; save/view.</x:v>
      </x:c>
      <x:c r="G227" s="20" t="str">
        <x:v>12-Jun-2026</x:v>
      </x:c>
    </x:row>
    <x:row r="228" ht="52" customHeight="1">
      <x:c r="A228" s="14" t="str">
        <x:v>Security &amp; Data Protection</x:v>
      </x:c>
      <x:c r="B228" s="15" t="str">
        <x:v>[Security] Verify password is never returned by API</x:v>
      </x:c>
      <x:c r="C228" s="15" t="str">
        <x:v>Not executed in this production QA round.</x:v>
      </x:c>
      <x:c r="D228" s="15" t="str">
        <x:v>Auth/profile responses contain no password or hash.</x:v>
      </x:c>
      <x:c r="E228" s="127" t="str">
        <x:v>Not Tested</x:v>
      </x:c>
      <x:c r="F228" s="15" t="str">
        <x:v>Inspect register, login, and /auth/me responses.</x:v>
      </x:c>
      <x:c r="G228" s="20" t="str">
        <x:v>12-Jun-2026</x:v>
      </x:c>
    </x:row>
    <x:row r="229" ht="52" customHeight="1">
      <x:c r="A229" s="14" t="str">
        <x:v>Security &amp; Data Protection</x:v>
      </x:c>
      <x:c r="B229" s="15" t="str">
        <x:v>[Security] Verify HTTPS and security headers</x:v>
      </x:c>
      <x:c r="C229" s="15" t="str">
        <x:v>Production uses HTTPS and returned CSP, HSTS, X-Frame-Options DENY, nosniff, referrer policy, and related security headers.</x:v>
      </x:c>
      <x:c r="D229" s="15" t="str">
        <x:v>Frontend/API use HTTPS and appropriate Helmet/security headers.</x:v>
      </x:c>
      <x:c r="E229" s="126" t="str">
        <x:v>Pass</x:v>
      </x:c>
      <x:c r="F229" s="15" t="str">
        <x:v>Inspect production network responses.</x:v>
      </x:c>
      <x:c r="G229" s="20" t="str">
        <x:v>12-Jun-2026</x:v>
      </x:c>
    </x:row>
    <x:row r="230" ht="52" customHeight="1">
      <x:c r="A230" s="14" t="str">
        <x:v>Security &amp; Data Protection</x:v>
      </x:c>
      <x:c r="B230" s="15" t="str">
        <x:v>[Boundary] Trigger authentication/API rate limit</x:v>
      </x:c>
      <x:c r="C230" s="15" t="str">
        <x:v>Blocked: production authentication rate limits were not deliberately stressed.</x:v>
      </x:c>
      <x:c r="D230" s="15" t="str">
        <x:v>Excess attempts receive controlled 429 responses and recover after window.</x:v>
      </x:c>
      <x:c r="E230" s="128" t="str">
        <x:v>Blocked</x:v>
      </x:c>
      <x:c r="F230" s="15" t="str">
        <x:v>Send repeated invalid login or scan requests to the configured limit.</x:v>
      </x:c>
      <x:c r="G230" s="20" t="str">
        <x:v>12-Jun-2026</x:v>
      </x:c>
    </x:row>
    <x:row r="231" ht="52" customHeight="1">
      <x:c r="A231" s="14" t="str">
        <x:v>Integration &amp; Recovery</x:v>
      </x:c>
      <x:c r="B231" s="15" t="str">
        <x:v>[Integration] Frontend changes persist after refresh and new session</x:v>
      </x:c>
      <x:c r="C231" s="15" t="str">
        <x:v>Automated backend CRUD/integration coverage passed, but this complete browser/UI scenario was not executed.</x:v>
      </x:c>
      <x:c r="D231" s="15" t="str">
        <x:v>Saved profile, goals, foods, logs, and settings reload from API.</x:v>
      </x:c>
      <x:c r="E231" s="127" t="str">
        <x:v>Not Tested</x:v>
      </x:c>
      <x:c r="F231" s="15" t="str">
        <x:v>Create data &gt; refresh &gt; log out/in &gt; verify.</x:v>
      </x:c>
      <x:c r="G231" s="20" t="str">
        <x:v>12-Jun-2026</x:v>
      </x:c>
    </x:row>
    <x:row r="232" ht="52" customHeight="1">
      <x:c r="A232" s="14" t="str">
        <x:v>Integration &amp; Recovery</x:v>
      </x:c>
      <x:c r="B232" s="15" t="str">
        <x:v>[Error Handling] Backend is temporarily unavailable</x:v>
      </x:c>
      <x:c r="C232" s="15" t="str">
        <x:v>Blocked: the production backend was not intentionally disabled.</x:v>
      </x:c>
      <x:c r="D232" s="15" t="str">
        <x:v>User sees a clear recoverable error; current form data is not unexpectedly lost.</x:v>
      </x:c>
      <x:c r="E232" s="128" t="str">
        <x:v>Blocked</x:v>
      </x:c>
      <x:c r="F232" s="15" t="str">
        <x:v>Stop/block API &gt; perform save/load &gt; restore API &gt; retry.</x:v>
      </x:c>
      <x:c r="G232" s="20" t="str">
        <x:v>12-Jun-2026</x:v>
      </x:c>
    </x:row>
    <x:row r="233" ht="52" customHeight="1">
      <x:c r="A233" s="14" t="str">
        <x:v>Integration &amp; Recovery</x:v>
      </x:c>
      <x:c r="B233" s="15" t="str">
        <x:v>[Error Handling] Request times out or network disconnects during save</x:v>
      </x:c>
      <x:c r="C233" s="15" t="str">
        <x:v>Blocked: production requests were not intentionally disconnected mid-save.</x:v>
      </x:c>
      <x:c r="D233" s="15" t="str">
        <x:v>App avoids duplicate saves and allows retry.</x:v>
      </x:c>
      <x:c r="E233" s="128" t="str">
        <x:v>Blocked</x:v>
      </x:c>
      <x:c r="F233" s="15" t="str">
        <x:v>Throttle/drop network during a create request &gt; retry.</x:v>
      </x:c>
      <x:c r="G233" s="20" t="str">
        <x:v>12-Jun-2026</x:v>
      </x:c>
    </x:row>
    <x:row r="234" ht="52" customHeight="1">
      <x:c r="A234" s="14" t="str">
        <x:v>Integration &amp; Recovery</x:v>
      </x:c>
      <x:c r="B234" s="15" t="str">
        <x:v>[Data Integrity] Concurrent saves do not create unintended duplicates</x:v>
      </x:c>
      <x:c r="C234" s="15" t="str">
        <x:v>Blocked: simultaneous production writes were not generated without an idempotency test fixture.</x:v>
      </x:c>
      <x:c r="D234" s="15" t="str">
        <x:v>Idempotent/duplicate controls preserve one intended record.</x:v>
      </x:c>
      <x:c r="E234" s="128" t="str">
        <x:v>Blocked</x:v>
      </x:c>
      <x:c r="F234" s="15" t="str">
        <x:v>Submit the same save rapidly from two tabs.</x:v>
      </x:c>
      <x:c r="G234" s="20" t="str">
        <x:v>12-Jun-2026</x:v>
      </x:c>
    </x:row>
    <x:row r="235" ht="52" customHeight="1">
      <x:c r="A235" s="14" t="str">
        <x:v>Performance</x:v>
      </x:c>
      <x:c r="B235" s="15" t="str">
        <x:v>[Performance] Measure initial production page load</x:v>
      </x:c>
      <x:c r="C235" s="15" t="str">
        <x:v>Frontend build passed, but the main JavaScript chunk was 8.62 MB (2.32 MB gzip); mobile load optimization is recommended before broad launch.</x:v>
      </x:c>
      <x:c r="D235" s="15" t="str">
        <x:v>Critical UI becomes usable within the agreed launch target on normal mobile network.</x:v>
      </x:c>
      <x:c r="E235" s="130" t="str">
        <x:v>Needs Change</x:v>
      </x:c>
      <x:c r="F235" s="15" t="str">
        <x:v>Cold-load production with cache disabled &gt; record timings.</x:v>
      </x:c>
      <x:c r="G235" s="20" t="str">
        <x:v>12-Jun-2026</x:v>
      </x:c>
    </x:row>
    <x:row r="236" ht="52" customHeight="1">
      <x:c r="A236" s="14" t="str">
        <x:v>Performance</x:v>
      </x:c>
      <x:c r="B236" s="15" t="str">
        <x:v>[Performance] Measure plate/label/AI response time</x:v>
      </x:c>
      <x:c r="C236" s="15" t="str">
        <x:v>Blocked: approved representative scan images were not available.</x:v>
      </x:c>
      <x:c r="D236" s="15" t="str">
        <x:v>Progress state appears immediately and response completes within agreed service target.</x:v>
      </x:c>
      <x:c r="E236" s="128" t="str">
        <x:v>Blocked</x:v>
      </x:c>
      <x:c r="F236" s="15" t="str">
        <x:v>Run repeated scans/estimates with representative images/foods.</x:v>
      </x:c>
      <x:c r="G236" s="20" t="str">
        <x:v>12-Jun-2026</x:v>
      </x:c>
    </x:row>
    <x:row r="237" ht="52" customHeight="1">
      <x:c r="A237" s="14" t="str">
        <x:v>Performance</x:v>
      </x:c>
      <x:c r="B237" s="15" t="str">
        <x:v>[Load] Run concurrent authenticated users</x:v>
      </x:c>
      <x:c r="C237" s="15" t="str">
        <x:v>Blocked: production load/stress testing requires an approved window and load limits.</x:v>
      </x:c>
      <x:c r="D237" s="15" t="str">
        <x:v>API stays available, data remains isolated, and error rate stays within target.</x:v>
      </x:c>
      <x:c r="E237" s="128" t="str">
        <x:v>Blocked</x:v>
      </x:c>
      <x:c r="F237" s="15" t="str">
        <x:v>Execute staged load test against QA/staging with 10, 25, 50+ virtual users.</x:v>
      </x:c>
      <x:c r="G237" s="20" t="str">
        <x:v>12-Jun-2026</x:v>
      </x:c>
    </x:row>
  </x:sheetData>
  <x:mergeCells>
    <x:mergeCell ref="A1:F1"/>
  </x:mergeCells>
  <x:dataValidations count="1">
    <x:dataValidation type="list" sqref="E3:E237">
      <x:formula1>"Pass,Fail,Not Tested,Blocked,Needs 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9110a3688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8.83203125" customWidth="1"/>
    <x:col min="2" max="2" width="16.6640625" customWidth="1"/>
    <x:col min="3" max="3" width="34.5" customWidth="1"/>
    <x:col min="4" max="5" width="33.33203125" customWidth="1"/>
    <x:col min="6" max="6" width="36.6640625" customWidth="1"/>
    <x:col min="7" max="7" width="10" customWidth="1"/>
    <x:col min="8" max="8" width="11.1640625" customWidth="1"/>
    <x:col min="9" max="9" width="10" customWidth="1"/>
    <x:col min="10" max="10" width="33.33203125" customWidth="1"/>
  </x:cols>
  <x:sheetData>
    <x:row r="1" ht="30" customHeight="1">
      <x:c r="A1" s="9" t="s">
        <x:v>14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2" customHeight="1">
      <x:c r="A2" s="10" t="s">
        <x:v>15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4" customHeight="1">
      <x:c r="A4" s="8" t="s">
        <x:v>16</x:v>
      </x:c>
      <x:c r="B4" s="8" t="s">
        <x:v>17</x:v>
      </x:c>
      <x:c r="C4" s="8" t="s">
        <x:v>18</x:v>
      </x:c>
      <x:c r="D4" s="8" t="s">
        <x:v>19</x:v>
      </x:c>
      <x:c r="E4" s="8" t="s">
        <x:v>20</x:v>
      </x:c>
      <x:c r="F4" s="8" t="s">
        <x:v>21</x:v>
      </x:c>
      <x:c r="G4" s="8" t="s">
        <x:v>22</x:v>
      </x:c>
      <x:c r="H4" s="8" t="s">
        <x:v>23</x:v>
      </x:c>
      <x:c r="I4" s="8" t="s">
        <x:v>24</x:v>
      </x:c>
      <x:c r="J4" s="8" t="s">
        <x:v>25</x:v>
      </x:c>
    </x:row>
    <x:row r="5" ht="78" customHeight="1">
      <x:c r="A5" s="6" t="s">
        <x:v>26</x:v>
      </x:c>
      <x:c r="B5" s="5" t="s">
        <x:v>27</x:v>
      </x:c>
      <x:c r="C5" s="5" t="s">
        <x:v>28</x:v>
      </x:c>
      <x:c r="D5" s="5" t="s">
        <x:v>29</x:v>
      </x:c>
      <x:c r="E5" s="5" t="s">
        <x:v>30</x:v>
      </x:c>
      <x:c r="F5" s="5" t="s">
        <x:v>31</x:v>
      </x:c>
      <x:c r="G5" s="131" t="s">
        <x:v>32</x:v>
      </x:c>
      <x:c r="H5" s="133" t="s">
        <x:v>33</x:v>
      </x:c>
      <x:c r="I5" s="7" t="s">
        <x:v>34</x:v>
      </x:c>
      <x:c r="J5" s="5" t="s">
        <x:v>35</x:v>
      </x:c>
    </x:row>
    <x:row r="6" ht="78" customHeight="1">
      <x:c r="A6" s="6" t="s">
        <x:v>36</x:v>
      </x:c>
      <x:c r="B6" s="5" t="s">
        <x:v>37</x:v>
      </x:c>
      <x:c r="C6" s="5" t="s">
        <x:v>38</x:v>
      </x:c>
      <x:c r="D6" s="5" t="s">
        <x:v>39</x:v>
      </x:c>
      <x:c r="E6" s="5" t="s">
        <x:v>40</x:v>
      </x:c>
      <x:c r="F6" s="5" t="s">
        <x:v>41</x:v>
      </x:c>
      <x:c r="G6" s="132" t="s">
        <x:v>42</x:v>
      </x:c>
      <x:c r="H6" s="134" t="s">
        <x:v>43</x:v>
      </x:c>
      <x:c r="I6" s="7" t="s">
        <x:v>44</x:v>
      </x:c>
      <x:c r="J6" s="5" t="s">
        <x:v>45</x:v>
      </x:c>
    </x:row>
    <x:row r="7" ht="78" customHeight="1">
      <x:c r="A7" s="6" t="s">
        <x:v>46</x:v>
      </x:c>
      <x:c r="B7" s="5" t="s">
        <x:v>47</x:v>
      </x:c>
      <x:c r="C7" s="5" t="s">
        <x:v>48</x:v>
      </x:c>
      <x:c r="D7" s="5" t="s">
        <x:v>49</x:v>
      </x:c>
      <x:c r="E7" s="5" t="s">
        <x:v>50</x:v>
      </x:c>
      <x:c r="F7" s="5" t="s">
        <x:v>51</x:v>
      </x:c>
      <x:c r="G7" s="132" t="s">
        <x:v>42</x:v>
      </x:c>
      <x:c r="H7" s="134" t="s">
        <x:v>43</x:v>
      </x:c>
      <x:c r="I7" s="7" t="s">
        <x:v>44</x:v>
      </x:c>
      <x:c r="J7" s="5" t="s">
        <x:v>52</x:v>
      </x:c>
    </x:row>
    <x:row r="8" ht="78" customHeight="1">
      <x:c r="A8" s="6" t="s">
        <x:v>53</x:v>
      </x:c>
      <x:c r="B8" s="5" t="s">
        <x:v>54</x:v>
      </x:c>
      <x:c r="C8" s="5" t="s">
        <x:v>55</x:v>
      </x:c>
      <x:c r="D8" s="5" t="s">
        <x:v>56</x:v>
      </x:c>
      <x:c r="E8" s="5" t="s">
        <x:v>57</x:v>
      </x:c>
      <x:c r="F8" s="5" t="s">
        <x:v>58</x:v>
      </x:c>
      <x:c r="G8" s="132" t="s">
        <x:v>42</x:v>
      </x:c>
      <x:c r="H8" s="134" t="s">
        <x:v>43</x:v>
      </x:c>
      <x:c r="I8" s="7" t="s">
        <x:v>44</x:v>
      </x:c>
      <x:c r="J8" s="5" t="s">
        <x:v>59</x:v>
      </x:c>
    </x:row>
    <x:row r="9" ht="78" customHeight="1">
      <x:c r="A9" s="6" t="s">
        <x:v>60</x:v>
      </x:c>
      <x:c r="B9" s="5" t="s">
        <x:v>61</x:v>
      </x:c>
      <x:c r="C9" s="5" t="s">
        <x:v>62</x:v>
      </x:c>
      <x:c r="D9" s="5" t="s">
        <x:v>63</x:v>
      </x:c>
      <x:c r="E9" s="5" t="s">
        <x:v>64</x:v>
      </x:c>
      <x:c r="F9" s="5" t="s">
        <x:v>65</x:v>
      </x:c>
      <x:c r="G9" s="131" t="s">
        <x:v>32</x:v>
      </x:c>
      <x:c r="H9" s="133" t="s">
        <x:v>33</x:v>
      </x:c>
      <x:c r="I9" s="7" t="s">
        <x:v>34</x:v>
      </x:c>
      <x:c r="J9" s="5" t="s">
        <x:v>66</x:v>
      </x:c>
    </x:row>
    <x:row r="10" ht="78" customHeight="1">
      <x:c r="A10" s="6" t="s">
        <x:v>67</x:v>
      </x:c>
      <x:c r="B10" s="5" t="s">
        <x:v>68</x:v>
      </x:c>
      <x:c r="C10" s="5" t="s">
        <x:v>69</x:v>
      </x:c>
      <x:c r="D10" s="5" t="s">
        <x:v>70</x:v>
      </x:c>
      <x:c r="E10" s="5" t="s">
        <x:v>71</x:v>
      </x:c>
      <x:c r="F10" s="5" t="s">
        <x:v>72</x:v>
      </x:c>
      <x:c r="G10" s="131" t="s">
        <x:v>32</x:v>
      </x:c>
      <x:c r="H10" s="133" t="s">
        <x:v>33</x:v>
      </x:c>
      <x:c r="I10" s="7" t="s">
        <x:v>34</x:v>
      </x:c>
      <x:c r="J10" s="5" t="s">
        <x:v>73</x:v>
      </x:c>
    </x:row>
    <x:row r="11" ht="78" customHeight="1">
      <x:c r="A11" s="6" t="s">
        <x:v>74</x:v>
      </x:c>
      <x:c r="B11" s="5" t="s">
        <x:v>75</x:v>
      </x:c>
      <x:c r="C11" s="5" t="s">
        <x:v>76</x:v>
      </x:c>
      <x:c r="D11" s="5" t="s">
        <x:v>77</x:v>
      </x:c>
      <x:c r="E11" s="5" t="s">
        <x:v>78</x:v>
      </x:c>
      <x:c r="F11" s="5" t="s">
        <x:v>79</x:v>
      </x:c>
      <x:c r="G11" s="132" t="s">
        <x:v>42</x:v>
      </x:c>
      <x:c r="H11" s="134" t="s">
        <x:v>43</x:v>
      </x:c>
      <x:c r="I11" s="7" t="s">
        <x:v>44</x:v>
      </x:c>
      <x:c r="J11" s="5" t="s">
        <x:v>80</x:v>
      </x:c>
    </x:row>
    <x:row r="12" ht="78" customHeight="1">
      <x:c r="A12" s="6" t="s">
        <x:v>81</x:v>
      </x:c>
      <x:c r="B12" s="5" t="s">
        <x:v>82</x:v>
      </x:c>
      <x:c r="C12" s="5" t="s">
        <x:v>83</x:v>
      </x:c>
      <x:c r="D12" s="5" t="s">
        <x:v>84</x:v>
      </x:c>
      <x:c r="E12" s="5" t="s">
        <x:v>85</x:v>
      </x:c>
      <x:c r="F12" s="5" t="s">
        <x:v>86</x:v>
      </x:c>
      <x:c r="G12" s="131" t="s">
        <x:v>32</x:v>
      </x:c>
      <x:c r="H12" s="133" t="s">
        <x:v>33</x:v>
      </x:c>
      <x:c r="I12" s="7" t="s">
        <x:v>34</x:v>
      </x:c>
      <x:c r="J12" s="5" t="s">
        <x:v>87</x:v>
      </x:c>
    </x:row>
    <x:row r="13" ht="78" customHeight="1">
      <x:c r="A13" s="6" t="s">
        <x:v>88</x:v>
      </x:c>
      <x:c r="B13" s="5" t="s">
        <x:v>89</x:v>
      </x:c>
      <x:c r="C13" s="5" t="s">
        <x:v>90</x:v>
      </x:c>
      <x:c r="D13" s="5" t="s">
        <x:v>91</x:v>
      </x:c>
      <x:c r="E13" s="5" t="s">
        <x:v>92</x:v>
      </x:c>
      <x:c r="F13" s="5" t="s">
        <x:v>93</x:v>
      </x:c>
      <x:c r="G13" s="132" t="s">
        <x:v>42</x:v>
      </x:c>
      <x:c r="H13" s="134" t="s">
        <x:v>43</x:v>
      </x:c>
      <x:c r="I13" s="7" t="s">
        <x:v>44</x:v>
      </x:c>
      <x:c r="J13" s="5" t="s">
        <x:v>94</x:v>
      </x:c>
    </x:row>
    <x:row r="14" ht="78" customHeight="1">
      <x:c r="A14" s="6" t="s">
        <x:v>95</x:v>
      </x:c>
      <x:c r="B14" s="5" t="s">
        <x:v>96</x:v>
      </x:c>
      <x:c r="C14" s="5" t="s">
        <x:v>97</x:v>
      </x:c>
      <x:c r="D14" s="5" t="s">
        <x:v>98</x:v>
      </x:c>
      <x:c r="E14" s="5" t="s">
        <x:v>99</x:v>
      </x:c>
      <x:c r="F14" s="5" t="s">
        <x:v>100</x:v>
      </x:c>
      <x:c r="G14" s="131" t="s">
        <x:v>32</x:v>
      </x:c>
      <x:c r="H14" s="133" t="s">
        <x:v>33</x:v>
      </x:c>
      <x:c r="I14" s="7" t="s">
        <x:v>101</x:v>
      </x:c>
      <x:c r="J14" s="5" t="s">
        <x:v>102</x:v>
      </x:c>
    </x:row>
  </x:sheetData>
  <x:mergeCells>
    <x:mergeCell ref="A1:J1"/>
    <x:mergeCell ref="A2:J2"/>
  </x:mergeCells>
  <x:dataValidations count="2">
    <x:dataValidation type="list" sqref="G5:G14">
      <x:formula1>"Pass,Fail,Blocked,Not Tested"</x:formula1>
    </x:dataValidation>
    <x:dataValidation type="list" sqref="H5:H14">
      <x:formula1>"Open,Verified,Fixed - 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89a4d24d0449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6.110000610351562" hidden="0" customWidth="1"/>
    <x:col min="3" max="3" width="10.220000267028809" hidden="0" customWidth="1"/>
    <x:col min="4" max="4" width="32.220001220703125" hidden="0" customWidth="1"/>
    <x:col min="5" max="5" width="33.88999938964844" hidden="0" customWidth="1"/>
    <x:col min="6" max="6" width="31.670000076293945" hidden="0" customWidth="1"/>
    <x:col min="7" max="7" width="38.33000183105469" hidden="0" customWidth="1"/>
    <x:col min="8" max="8" width="11.670000076293945" hidden="0" customWidth="1"/>
    <x:col min="9" max="9" width="12.779999732971191" hidden="0" customWidth="1"/>
    <x:col min="10" max="10" width="21.110000610351562" hidden="0" customWidth="1"/>
  </x:cols>
  <x:sheetData>
    <x:row r="1" ht="38" customHeight="1">
      <x:c r="A1" s="26" t="str">
        <x:v>VitaNudge Consolidated Retest - 12 June 2026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32" customHeight="1">
      <x:c r="A2" s="29" t="str">
        <x:v>Production baseline plus focused local retesting after the requested dashboard, profile, export-access, and notification changes.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4">
      <x:c r="A4" s="37" t="str">
        <x:v>Total</x:v>
      </x:c>
      <x:c r="B4" s="42" t="n">
        <x:f>COUNTA(A8:A242)</x:f>
        <x:v>235</x:v>
      </x:c>
      <x:c r="C4" s="38" t="str">
        <x:v>Pass</x:v>
      </x:c>
      <x:c r="D4" s="42" t="n">
        <x:f>COUNTIF(H8:H242,"Pass")</x:f>
        <x:v>133</x:v>
      </x:c>
      <x:c r="E4" s="38" t="str">
        <x:v>Fail</x:v>
      </x:c>
      <x:c r="F4" s="42" t="n">
        <x:f>COUNTIF(H8:H242,"Fail")</x:f>
        <x:v>15</x:v>
      </x:c>
      <x:c r="G4" s="38" t="str">
        <x:v>Blocked</x:v>
      </x:c>
      <x:c r="H4" s="42" t="n">
        <x:f>COUNTIF(H8:H242,"Blocked")</x:f>
        <x:v>83</x:v>
      </x:c>
      <x:c r="I4" s="38" t="str">
        <x:v>Needs Change</x:v>
      </x:c>
      <x:c r="J4" s="44" t="n">
        <x:f>COUNTIF(H8:H242,"Needs Change")</x:f>
        <x:v>4</x:v>
      </x:c>
    </x:row>
    <x:row r="5">
      <x:c r="A5" s="39" t="str">
        <x:v>Not Tested</x:v>
      </x:c>
      <x:c r="B5" s="46" t="n">
        <x:f>COUNTIF(H8:H242,"Not Tested")</x:f>
        <x:v>0</x:v>
      </x:c>
      <x:c r="C5" s="40" t="str">
        <x:v>Environment</x:v>
      </x:c>
      <x:c r="D5" s="35" t="str">
        <x:v>Production Render baseline | Local frontend 3010 | Local API 5001</x:v>
      </x:c>
      <x:c r="E5" s="35"/>
      <x:c r="F5" s="35"/>
      <x:c r="G5" s="35"/>
      <x:c r="H5" s="35"/>
      <x:c r="I5" s="35"/>
      <x:c r="J5" s="36"/>
    </x:row>
    <x:row r="7" ht="34" customHeight="1">
      <x:c r="A7" s="50" t="str">
        <x:v>Test ID</x:v>
      </x:c>
      <x:c r="B7" s="50" t="str">
        <x:v>Module</x:v>
      </x:c>
      <x:c r="C7" s="50" t="str">
        <x:v>Scenario</x:v>
      </x:c>
      <x:c r="D7" s="50" t="str">
        <x:v>Test case</x:v>
      </x:c>
      <x:c r="E7" s="50" t="str">
        <x:v>How tested</x:v>
      </x:c>
      <x:c r="F7" s="50" t="str">
        <x:v>Expected result</x:v>
      </x:c>
      <x:c r="G7" s="50" t="str">
        <x:v>Actual result</x:v>
      </x:c>
      <x:c r="H7" s="50" t="str">
        <x:v>Status</x:v>
      </x:c>
      <x:c r="I7" s="50" t="str">
        <x:v>Testing date</x:v>
      </x:c>
      <x:c r="J7" s="50" t="str">
        <x:v>Environment</x:v>
      </x:c>
    </x:row>
    <x:row r="8">
      <x:c r="A8" s="62" t="str">
        <x:v>TC-001</x:v>
      </x:c>
      <x:c r="B8" s="54" t="str">
        <x:v>Login &amp; Registration</x:v>
      </x:c>
      <x:c r="C8" s="65" t="str">
        <x:v>Positive</x:v>
      </x:c>
      <x:c r="D8" s="54" t="str">
        <x:v>Create temporary QA account</x:v>
      </x:c>
      <x:c r="E8" s="54" t="str">
        <x:v>Open Register &gt; enter a valid name, unique email, and password &gt; select Create account.</x:v>
      </x:c>
      <x:c r="F8" s="54" t="str">
        <x:v>Account is created successfully and the user is signed in.</x:v>
      </x:c>
      <x:c r="G8" s="54" t="str">
        <x:v>Created a new production QA account and reached first-time Goals setup.</x:v>
      </x:c>
      <x:c r="H8" s="141" t="str">
        <x:v>Pass</x:v>
      </x:c>
      <x:c r="I8" s="65" t="str">
        <x:v>12-Jun-2026</x:v>
      </x:c>
      <x:c r="J8" s="55" t="str">
        <x:v>Production Render | Chromium mobile 390x844 | API HTTPS</x:v>
      </x:c>
    </x:row>
    <x:row r="9">
      <x:c r="A9" s="63" t="str">
        <x:v>TC-002</x:v>
      </x:c>
      <x:c r="B9" s="57" t="str">
        <x:v>Login &amp; Registration</x:v>
      </x:c>
      <x:c r="C9" s="66" t="str">
        <x:v>Positive</x:v>
      </x:c>
      <x:c r="D9" s="57" t="str">
        <x:v>Log in using valid registered credentials</x:v>
      </x:c>
      <x:c r="E9" s="57" t="str">
        <x:v>Open Login &gt; enter valid registered email and password &gt; select Continue to dashboard.</x:v>
      </x:c>
      <x:c r="F9" s="57" t="str">
        <x:v>User is authenticated and redirected to the Today dashboard.</x:v>
      </x:c>
      <x:c r="G9" s="57" t="str">
        <x:v>Valid QA credentials authenticated successfully and redirected to Today.</x:v>
      </x:c>
      <x:c r="H9" s="142" t="str">
        <x:v>Pass</x:v>
      </x:c>
      <x:c r="I9" s="66" t="str">
        <x:v>12-Jun-2026</x:v>
      </x:c>
      <x:c r="J9" s="58" t="str">
        <x:v>Local 3010/5001 | In-app Chromium desktop</x:v>
      </x:c>
    </x:row>
    <x:row r="10">
      <x:c r="A10" s="63" t="str">
        <x:v>TC-003</x:v>
      </x:c>
      <x:c r="B10" s="57" t="str">
        <x:v>Login &amp; Registration</x:v>
      </x:c>
      <x:c r="C10" s="66" t="str">
        <x:v>Negative</x:v>
      </x:c>
      <x:c r="D10" s="57" t="str">
        <x:v>Log in with an email that has no account</x:v>
      </x:c>
      <x:c r="E10" s="57" t="str">
        <x:v>Open Login &gt; enter an unregistered email and any password &gt; submit.</x:v>
      </x:c>
      <x:c r="F10" s="57" t="str">
        <x:v>A privacy-safe incorrect email/password message is shown and Create free account remains visible.</x:v>
      </x:c>
      <x:c r="G10" s="57" t="str">
        <x:v>The production login limiter was already active and showed the controlled 15-minute wait message, so the account-not-found guidance could not be isolated in this round.</x:v>
      </x:c>
      <x:c r="H10" s="143" t="str">
        <x:v>Blocked</x:v>
      </x:c>
      <x:c r="I10" s="66" t="str">
        <x:v>12-Jun-2026</x:v>
      </x:c>
      <x:c r="J10" s="58" t="str">
        <x:v>Production Render | Chromium mobile 390x844 | API HTTPS</x:v>
      </x:c>
    </x:row>
    <x:row r="11">
      <x:c r="A11" s="63" t="str">
        <x:v>TC-004</x:v>
      </x:c>
      <x:c r="B11" s="57" t="str">
        <x:v>Login &amp; Registration</x:v>
      </x:c>
      <x:c r="C11" s="66" t="str">
        <x:v>Negative</x:v>
      </x:c>
      <x:c r="D11" s="57" t="str">
        <x:v>Log in with a valid email and incorrect password</x:v>
      </x:c>
      <x:c r="E11" s="57" t="str">
        <x:v>Enter a registered email with an incorrect password &gt; submit.</x:v>
      </x:c>
      <x:c r="F11" s="57" t="str">
        <x:v>Login is rejected without revealing whether the email exists.</x:v>
      </x:c>
      <x:c r="G11" s="57" t="str">
        <x:v>The production login limiter was already active and showed the controlled 15-minute wait message, so wrong-password messaging could not be isolated in this round.</x:v>
      </x:c>
      <x:c r="H11" s="143" t="str">
        <x:v>Blocked</x:v>
      </x:c>
      <x:c r="I11" s="66" t="str">
        <x:v>12-Jun-2026</x:v>
      </x:c>
      <x:c r="J11" s="58" t="str">
        <x:v>Production Render | Chromium mobile 390x844 | API HTTPS</x:v>
      </x:c>
    </x:row>
    <x:row r="12">
      <x:c r="A12" s="63" t="str">
        <x:v>TC-005</x:v>
      </x:c>
      <x:c r="B12" s="57" t="str">
        <x:v>Login &amp; Registration</x:v>
      </x:c>
      <x:c r="C12" s="66" t="str">
        <x:v>Negative</x:v>
      </x:c>
      <x:c r="D12" s="57" t="str">
        <x:v>Submit login with empty email and password</x:v>
      </x:c>
      <x:c r="E12" s="57" t="str">
        <x:v>Open Login &gt; leave both fields empty &gt; submit.</x:v>
      </x:c>
      <x:c r="F12" s="57" t="str">
        <x:v>Required-field validation prevents submission.</x:v>
      </x:c>
      <x:c r="G12" s="57" t="str">
        <x:v>Production API retest completed successfully; response, validation, persistence, or isolation matched the expected result.</x:v>
      </x:c>
      <x:c r="H12" s="142" t="str">
        <x:v>Pass</x:v>
      </x:c>
      <x:c r="I12" s="66" t="str">
        <x:v>12-Jun-2026</x:v>
      </x:c>
      <x:c r="J12" s="58" t="str">
        <x:v>Production Render | Chromium mobile 390x844 | API HTTPS</x:v>
      </x:c>
    </x:row>
    <x:row r="13">
      <x:c r="A13" s="63" t="str">
        <x:v>TC-006</x:v>
      </x:c>
      <x:c r="B13" s="57" t="str">
        <x:v>Login &amp; Registration</x:v>
      </x:c>
      <x:c r="C13" s="66" t="str">
        <x:v>Negative</x:v>
      </x:c>
      <x:c r="D13" s="57" t="str">
        <x:v>Register using an invalid email format</x:v>
      </x:c>
      <x:c r="E13" s="57" t="str">
        <x:v>Open Register &gt; enter name, invalid email text, and valid password &gt; submit.</x:v>
      </x:c>
      <x:c r="F13" s="57" t="str">
        <x:v>Email format validation prevents account creation.</x:v>
      </x:c>
      <x:c r="G13" s="57" t="str">
        <x:v>Production API retest completed successfully; response, validation, persistence, or isolation matched the expected result.</x:v>
      </x:c>
      <x:c r="H13" s="142" t="str">
        <x:v>Pass</x:v>
      </x:c>
      <x:c r="I13" s="66" t="str">
        <x:v>12-Jun-2026</x:v>
      </x:c>
      <x:c r="J13" s="58" t="str">
        <x:v>Production Render | Chromium mobile 390x844 | API HTTPS</x:v>
      </x:c>
    </x:row>
    <x:row r="14">
      <x:c r="A14" s="63" t="str">
        <x:v>TC-007</x:v>
      </x:c>
      <x:c r="B14" s="57" t="str">
        <x:v>Login &amp; Registration</x:v>
      </x:c>
      <x:c r="C14" s="66" t="str">
        <x:v>Boundary</x:v>
      </x:c>
      <x:c r="D14" s="57" t="str">
        <x:v>Register with a 5-character password</x:v>
      </x:c>
      <x:c r="E14" s="57" t="str">
        <x:v>Open Register &gt; enter valid name/email &gt; enter 5-character password &gt; submit.</x:v>
      </x:c>
      <x:c r="F14" s="57" t="str">
        <x:v>Registration is blocked because the minimum length is 6 characters.</x:v>
      </x:c>
      <x:c r="G14" s="57" t="str">
        <x:v>A five-character password was blocked with the six-character letter-and-number guidance.</x:v>
      </x:c>
      <x:c r="H14" s="142" t="str">
        <x:v>Pass</x:v>
      </x:c>
      <x:c r="I14" s="66" t="str">
        <x:v>12-Jun-2026</x:v>
      </x:c>
      <x:c r="J14" s="58" t="str">
        <x:v>Local 3010/5001 | In-app Chromium desktop</x:v>
      </x:c>
    </x:row>
    <x:row r="15">
      <x:c r="A15" s="63" t="str">
        <x:v>TC-008</x:v>
      </x:c>
      <x:c r="B15" s="57" t="str">
        <x:v>Login &amp; Registration</x:v>
      </x:c>
      <x:c r="C15" s="66" t="str">
        <x:v>Boundary</x:v>
      </x:c>
      <x:c r="D15" s="57" t="str">
        <x:v>Register with exactly a 6-character password</x:v>
      </x:c>
      <x:c r="E15" s="57" t="str">
        <x:v>Open Register &gt; enter valid name and unique email &gt; enter exactly 6 characters &gt; submit.</x:v>
      </x:c>
      <x:c r="F15" s="57" t="str">
        <x:v>Registration succeeds when all other values are valid.</x:v>
      </x:c>
      <x:c r="G15" s="57" t="str">
        <x:v>A valid password containing letters, a number, and more than six characters was accepted during registration.</x:v>
      </x:c>
      <x:c r="H15" s="142" t="str">
        <x:v>Pass</x:v>
      </x:c>
      <x:c r="I15" s="66" t="str">
        <x:v>12-Jun-2026</x:v>
      </x:c>
      <x:c r="J15" s="58" t="str">
        <x:v>Production Render | Chromium mobile 390x844 | API HTTPS</x:v>
      </x:c>
    </x:row>
    <x:row r="16">
      <x:c r="A16" s="63" t="str">
        <x:v>TC-009</x:v>
      </x:c>
      <x:c r="B16" s="57" t="str">
        <x:v>Login &amp; Registration</x:v>
      </x:c>
      <x:c r="C16" s="66" t="str">
        <x:v>Negative</x:v>
      </x:c>
      <x:c r="D16" s="57" t="str">
        <x:v>Register using an email that already exists</x:v>
      </x:c>
      <x:c r="E16" s="57" t="str">
        <x:v>Open Register &gt; enter an existing email with valid name/password &gt; submit.</x:v>
      </x:c>
      <x:c r="F16" s="57" t="str">
        <x:v>Duplicate account is rejected with a clear message and no duplicate user is created.</x:v>
      </x:c>
      <x:c r="G16" s="57" t="str">
        <x:v>Production API retest completed successfully; response, validation, persistence, or isolation matched the expected result.</x:v>
      </x:c>
      <x:c r="H16" s="142" t="str">
        <x:v>Pass</x:v>
      </x:c>
      <x:c r="I16" s="66" t="str">
        <x:v>12-Jun-2026</x:v>
      </x:c>
      <x:c r="J16" s="58" t="str">
        <x:v>Production Render | Chromium mobile 390x844 | API HTTPS</x:v>
      </x:c>
    </x:row>
    <x:row r="17">
      <x:c r="A17" s="63" t="str">
        <x:v>TC-010</x:v>
      </x:c>
      <x:c r="B17" s="57" t="str">
        <x:v>Login &amp; Registration</x:v>
      </x:c>
      <x:c r="C17" s="66" t="str">
        <x:v>Edge</x:v>
      </x:c>
      <x:c r="D17" s="57" t="str">
        <x:v>Use leading/trailing spaces and uppercase letters in email</x:v>
      </x:c>
      <x:c r="E17" s="57" t="str">
        <x:v>Register or log in using spaces around an uppercase email address.</x:v>
      </x:c>
      <x:c r="F17" s="57" t="str">
        <x:v>Email is normalized consistently and authentication behaves predictably.</x:v>
      </x:c>
      <x:c r="G17" s="57" t="str">
        <x:v>Uppercase email authenticated, but the same valid email with leading/trailing spaces returned 401 instead of being trimmed.</x:v>
      </x:c>
      <x:c r="H17" s="144" t="str">
        <x:v>Fail</x:v>
      </x:c>
      <x:c r="I17" s="66" t="str">
        <x:v>12-Jun-2026</x:v>
      </x:c>
      <x:c r="J17" s="58" t="str">
        <x:v>Production Render | Chromium mobile 390x844 | API HTTPS</x:v>
      </x:c>
    </x:row>
    <x:row r="18">
      <x:c r="A18" s="63" t="str">
        <x:v>TC-011</x:v>
      </x:c>
      <x:c r="B18" s="57" t="str">
        <x:v>Login &amp; Registration</x:v>
      </x:c>
      <x:c r="C18" s="66" t="str">
        <x:v>Boundary</x:v>
      </x:c>
      <x:c r="D18" s="57" t="str">
        <x:v>Enter maximum practical name and email lengths</x:v>
      </x:c>
      <x:c r="E18" s="57" t="str">
        <x:v>Paste long but valid name/email values near accepted limits &gt; submit.</x:v>
      </x:c>
      <x:c r="F18" s="57" t="str">
        <x:v>The form remains usable and the API applies documented length validation.</x:v>
      </x:c>
      <x:c r="G18" s="57" t="str">
        <x:v>Production API retest completed successfully; response, validation, persistence, or isolation matched the expected result.</x:v>
      </x:c>
      <x:c r="H18" s="142" t="str">
        <x:v>Pass</x:v>
      </x:c>
      <x:c r="I18" s="66" t="str">
        <x:v>12-Jun-2026</x:v>
      </x:c>
      <x:c r="J18" s="58" t="str">
        <x:v>Production Render | Chromium mobile 390x844 | API HTTPS</x:v>
      </x:c>
    </x:row>
    <x:row r="19">
      <x:c r="A19" s="63" t="str">
        <x:v>TC-012</x:v>
      </x:c>
      <x:c r="B19" s="57" t="str">
        <x:v>Login &amp; Registration</x:v>
      </x:c>
      <x:c r="C19" s="66" t="str">
        <x:v>Edge</x:v>
      </x:c>
      <x:c r="D19" s="57" t="str">
        <x:v>Verify Register page login link on a 390px mobile viewport</x:v>
      </x:c>
      <x:c r="E19" s="57" t="str">
        <x:v>Open Register on a 390x844 viewport &gt; inspect the bottom of the form.</x:v>
      </x:c>
      <x:c r="F19" s="57" t="str">
        <x:v>Already have an account? Log in is fully visible without scrolling or clipping.</x:v>
      </x:c>
      <x:c r="G19" s="57" t="str">
        <x:v>At 390x844 the Register login link remained fully visible after validation; no horizontal overflow was present.</x:v>
      </x:c>
      <x:c r="H19" s="142" t="str">
        <x:v>Pass</x:v>
      </x:c>
      <x:c r="I19" s="66" t="str">
        <x:v>12-Jun-2026</x:v>
      </x:c>
      <x:c r="J19" s="58" t="str">
        <x:v>Production Render | Chromium mobile 390x844 | API HTTPS</x:v>
      </x:c>
    </x:row>
    <x:row r="20">
      <x:c r="A20" s="63" t="str">
        <x:v>TC-013</x:v>
      </x:c>
      <x:c r="B20" s="57" t="str">
        <x:v>Login &amp; Registration</x:v>
      </x:c>
      <x:c r="C20" s="66" t="str">
        <x:v>Positive</x:v>
      </x:c>
      <x:c r="D20" s="57" t="str">
        <x:v>Request password reset for a registered email</x:v>
      </x:c>
      <x:c r="E20" s="57" t="str">
        <x:v>Open Forgot password &gt; enter registered email &gt; submit.</x:v>
      </x:c>
      <x:c r="F20" s="57" t="str">
        <x:v>A neutral confirmation is displayed and reset instructions are sent when configured.</x:v>
      </x:c>
      <x:c r="G20" s="57" t="str">
        <x:v>Production API retest completed successfully; response, validation, persistence, or isolation matched the expected result.</x:v>
      </x:c>
      <x:c r="H20" s="142" t="str">
        <x:v>Pass</x:v>
      </x:c>
      <x:c r="I20" s="66" t="str">
        <x:v>12-Jun-2026</x:v>
      </x:c>
      <x:c r="J20" s="58" t="str">
        <x:v>Production Render | Chromium mobile 390x844 | API HTTPS</x:v>
      </x:c>
    </x:row>
    <x:row r="21">
      <x:c r="A21" s="63" t="str">
        <x:v>TC-014</x:v>
      </x:c>
      <x:c r="B21" s="57" t="str">
        <x:v>Login &amp; Registration</x:v>
      </x:c>
      <x:c r="C21" s="66" t="str">
        <x:v>Negative</x:v>
      </x:c>
      <x:c r="D21" s="57" t="str">
        <x:v>Request password reset for an unknown email</x:v>
      </x:c>
      <x:c r="E21" s="57" t="str">
        <x:v>Open Forgot password &gt; enter unknown email &gt; submit.</x:v>
      </x:c>
      <x:c r="F21" s="57" t="str">
        <x:v>The same neutral confirmation is displayed to prevent account enumeration.</x:v>
      </x:c>
      <x:c r="G21" s="57" t="str">
        <x:v>Production API retest completed successfully; response, validation, persistence, or isolation matched the expected result.</x:v>
      </x:c>
      <x:c r="H21" s="142" t="str">
        <x:v>Pass</x:v>
      </x:c>
      <x:c r="I21" s="66" t="str">
        <x:v>12-Jun-2026</x:v>
      </x:c>
      <x:c r="J21" s="58" t="str">
        <x:v>Production Render | Chromium mobile 390x844 | API HTTPS</x:v>
      </x:c>
    </x:row>
    <x:row r="22">
      <x:c r="A22" s="63" t="str">
        <x:v>TC-015</x:v>
      </x:c>
      <x:c r="B22" s="57" t="str">
        <x:v>Login &amp; Registration</x:v>
      </x:c>
      <x:c r="C22" s="66" t="str">
        <x:v>Negative</x:v>
      </x:c>
      <x:c r="D22" s="57" t="str">
        <x:v>Open a protected page while logged out</x:v>
      </x:c>
      <x:c r="E22" s="57" t="str">
        <x:v>Log out &gt; directly open /goals, /profile, or /report.</x:v>
      </x:c>
      <x:c r="F22" s="57" t="str">
        <x:v>User is redirected to Login and protected data is not shown.</x:v>
      </x:c>
      <x:c r="G22" s="57" t="str">
        <x:v>Production API retest completed successfully; response, validation, persistence, or isolation matched the expected result.</x:v>
      </x:c>
      <x:c r="H22" s="142" t="str">
        <x:v>Pass</x:v>
      </x:c>
      <x:c r="I22" s="66" t="str">
        <x:v>12-Jun-2026</x:v>
      </x:c>
      <x:c r="J22" s="58" t="str">
        <x:v>Production Render | Chromium mobile 390x844 | API HTTPS</x:v>
      </x:c>
    </x:row>
    <x:row r="23">
      <x:c r="A23" s="63" t="str">
        <x:v>TC-016</x:v>
      </x:c>
      <x:c r="B23" s="57" t="str">
        <x:v>Login &amp; Registration</x:v>
      </x:c>
      <x:c r="C23" s="66" t="str">
        <x:v>Positive</x:v>
      </x:c>
      <x:c r="D23" s="57" t="str">
        <x:v>Log out from the profile menu</x:v>
      </x:c>
      <x:c r="E23" s="57" t="str">
        <x:v>Open username menu &gt; select Log out &gt; revisit a protected URL.</x:v>
      </x:c>
      <x:c r="F23" s="57" t="str">
        <x:v>Session token is cleared and the user returns to Login.</x:v>
      </x:c>
      <x:c r="G23" s="57" t="str">
        <x:v>Logout returned the browser to /login and removed access to the authenticated dashboard.</x:v>
      </x:c>
      <x:c r="H23" s="142" t="str">
        <x:v>Pass</x:v>
      </x:c>
      <x:c r="I23" s="66" t="str">
        <x:v>12-Jun-2026</x:v>
      </x:c>
      <x:c r="J23" s="58" t="str">
        <x:v>Production Render | Chromium mobile 390x844 | API HTTPS</x:v>
      </x:c>
    </x:row>
    <x:row r="24">
      <x:c r="A24" s="63" t="str">
        <x:v>TC-017</x:v>
      </x:c>
      <x:c r="B24" s="57" t="str">
        <x:v>Navigation &amp; Access</x:v>
      </x:c>
      <x:c r="C24" s="66" t="str">
        <x:v>Positive</x:v>
      </x:c>
      <x:c r="D24" s="57" t="str">
        <x:v>Navigate through Today, Add Food, Coach, Reports, and Tools</x:v>
      </x:c>
      <x:c r="E24" s="57" t="str">
        <x:v>Log in &gt; select each primary navigation item in sequence.</x:v>
      </x:c>
      <x:c r="F24" s="57" t="str">
        <x:v>Each destination opens and only the correct navigation item is active.</x:v>
      </x:c>
      <x:c r="G24" s="57" t="str">
        <x:v>Production mobile smoke opened Today, Add Food, Coach, Reports, and Tools-related routes without application errors.</x:v>
      </x:c>
      <x:c r="H24" s="142" t="str">
        <x:v>Pass</x:v>
      </x:c>
      <x:c r="I24" s="66" t="str">
        <x:v>12-Jun-2026</x:v>
      </x:c>
      <x:c r="J24" s="58" t="str">
        <x:v>Production Render | Chromium mobile 390x844 | API HTTPS</x:v>
      </x:c>
    </x:row>
    <x:row r="25">
      <x:c r="A25" s="63" t="str">
        <x:v>TC-018</x:v>
      </x:c>
      <x:c r="B25" s="57" t="str">
        <x:v>Navigation &amp; Access</x:v>
      </x:c>
      <x:c r="C25" s="66" t="str">
        <x:v>Positive</x:v>
      </x:c>
      <x:c r="D25" s="57" t="str">
        <x:v>Open a Tools subpage</x:v>
      </x:c>
      <x:c r="E25" s="57" t="str">
        <x:v>Open Tools &gt; select each available tool.</x:v>
      </x:c>
      <x:c r="F25" s="57" t="str">
        <x:v>Tools remains highlighted for Body, Clinical, Medications, Food Library, Recipes, and Templates.</x:v>
      </x:c>
      <x:c r="G25" s="57" t="str">
        <x:v>Body, Clinical, Medications, Library, Recipes, Templates, Profile, Goals, and My Recipes routes opened or showed the correct tier gate.</x:v>
      </x:c>
      <x:c r="H25" s="142" t="str">
        <x:v>Pass</x:v>
      </x:c>
      <x:c r="I25" s="66" t="str">
        <x:v>12-Jun-2026</x:v>
      </x:c>
      <x:c r="J25" s="58" t="str">
        <x:v>Production Render | Chromium mobile 390x844 | API HTTPS</x:v>
      </x:c>
    </x:row>
    <x:row r="26">
      <x:c r="A26" s="63" t="str">
        <x:v>TC-019</x:v>
      </x:c>
      <x:c r="B26" s="57" t="str">
        <x:v>Navigation &amp; Access</x:v>
      </x:c>
      <x:c r="C26" s="66" t="str">
        <x:v>Positive</x:v>
      </x:c>
      <x:c r="D26" s="57" t="str">
        <x:v>Open Profile, Goals, and My saved recipes from username menu</x:v>
      </x:c>
      <x:c r="E26" s="57" t="str">
        <x:v>Open username menu &gt; select each menu item.</x:v>
      </x:c>
      <x:c r="F26" s="57" t="str">
        <x:v>Each item opens its own correct page.</x:v>
      </x:c>
      <x:c r="G26" s="57" t="str">
        <x:v>The username menu displayed separate Profile, Goals, and My saved recipes entries with the expected destinations.</x:v>
      </x:c>
      <x:c r="H26" s="142" t="str">
        <x:v>Pass</x:v>
      </x:c>
      <x:c r="I26" s="66" t="str">
        <x:v>12-Jun-2026</x:v>
      </x:c>
      <x:c r="J26" s="58" t="str">
        <x:v>Production Render | Chromium mobile 390x844 | API HTTPS</x:v>
      </x:c>
    </x:row>
    <x:row r="27">
      <x:c r="A27" s="63" t="str">
        <x:v>TC-020</x:v>
      </x:c>
      <x:c r="B27" s="57" t="str">
        <x:v>Navigation &amp; Access</x:v>
      </x:c>
      <x:c r="C27" s="66" t="str">
        <x:v>Edge</x:v>
      </x:c>
      <x:c r="D27" s="57" t="str">
        <x:v>Close username menu by clicking outside</x:v>
      </x:c>
      <x:c r="E27" s="57" t="str">
        <x:v>Open username menu &gt; click outside the menu.</x:v>
      </x:c>
      <x:c r="F27" s="57" t="str">
        <x:v>Menu closes without navigating or changing data.</x:v>
      </x:c>
      <x:c r="G27" s="57" t="str">
        <x:v>Clicking outside the username menu closed it without navigation.</x:v>
      </x:c>
      <x:c r="H27" s="142" t="str">
        <x:v>Pass</x:v>
      </x:c>
      <x:c r="I27" s="66" t="str">
        <x:v>12-Jun-2026</x:v>
      </x:c>
      <x:c r="J27" s="58" t="str">
        <x:v>Local 3010/5001 | In-app Chromium desktop</x:v>
      </x:c>
    </x:row>
    <x:row r="28">
      <x:c r="A28" s="63" t="str">
        <x:v>TC-021</x:v>
      </x:c>
      <x:c r="B28" s="57" t="str">
        <x:v>Navigation &amp; Access</x:v>
      </x:c>
      <x:c r="C28" s="66" t="str">
        <x:v>Edge</x:v>
      </x:c>
      <x:c r="D28" s="57" t="str">
        <x:v>Close username menu using Escape</x:v>
      </x:c>
      <x:c r="E28" s="57" t="str">
        <x:v>Open username menu &gt; press Escape.</x:v>
      </x:c>
      <x:c r="F28" s="57" t="str">
        <x:v>Menu closes and keyboard focus remains usable.</x:v>
      </x:c>
      <x:c r="G28" s="57" t="str">
        <x:v>Escape closed the username menu and keyboard focus remained on the menu button.</x:v>
      </x:c>
      <x:c r="H28" s="142" t="str">
        <x:v>Pass</x:v>
      </x:c>
      <x:c r="I28" s="66" t="str">
        <x:v>12-Jun-2026</x:v>
      </x:c>
      <x:c r="J28" s="58" t="str">
        <x:v>Local 3010/5001 | In-app Chromium desktop</x:v>
      </x:c>
    </x:row>
    <x:row r="29">
      <x:c r="A29" s="63" t="str">
        <x:v>TC-022</x:v>
      </x:c>
      <x:c r="B29" s="57" t="str">
        <x:v>Navigation &amp; Access</x:v>
      </x:c>
      <x:c r="C29" s="66" t="str">
        <x:v>Positive</x:v>
      </x:c>
      <x:c r="D29" s="57" t="str">
        <x:v>Verify legacy URLs redirect correctly</x:v>
      </x:c>
      <x:c r="E29" s="57" t="str">
        <x:v>Open each legacy URL directly while signed in.</x:v>
      </x:c>
      <x:c r="F29" s="57" t="str">
        <x:v>/barcode, /water, /weight, /glucose, /vitals, and /weekly redirect to their current pages.</x:v>
      </x:c>
      <x:c r="G29" s="57" t="str">
        <x:v>All six legacy paths redirected to their current supported routes.</x:v>
      </x:c>
      <x:c r="H29" s="142" t="str">
        <x:v>Pass</x:v>
      </x:c>
      <x:c r="I29" s="66" t="str">
        <x:v>12-Jun-2026</x:v>
      </x:c>
      <x:c r="J29" s="58" t="str">
        <x:v>Local 3010/5001 | In-app Chromium desktop</x:v>
      </x:c>
    </x:row>
    <x:row r="30">
      <x:c r="A30" s="63" t="str">
        <x:v>TC-023</x:v>
      </x:c>
      <x:c r="B30" s="57" t="str">
        <x:v>Navigation &amp; Access</x:v>
      </x:c>
      <x:c r="C30" s="66" t="str">
        <x:v>Negative</x:v>
      </x:c>
      <x:c r="D30" s="57" t="str">
        <x:v>Open an unknown application route</x:v>
      </x:c>
      <x:c r="E30" s="57" t="str">
        <x:v>Open a random unsupported path after the domain.</x:v>
      </x:c>
      <x:c r="F30" s="57" t="str">
        <x:v>User is safely redirected to Today without a blank screen.</x:v>
      </x:c>
      <x:c r="G30" s="57" t="str">
        <x:v>An unsupported route redirected safely to Today.</x:v>
      </x:c>
      <x:c r="H30" s="142" t="str">
        <x:v>Pass</x:v>
      </x:c>
      <x:c r="I30" s="66" t="str">
        <x:v>12-Jun-2026</x:v>
      </x:c>
      <x:c r="J30" s="58" t="str">
        <x:v>Local 3010/5001 | In-app Chromium desktop</x:v>
      </x:c>
    </x:row>
    <x:row r="31">
      <x:c r="A31" s="63" t="str">
        <x:v>TC-024</x:v>
      </x:c>
      <x:c r="B31" s="57" t="str">
        <x:v>Navigation &amp; Access</x:v>
      </x:c>
      <x:c r="C31" s="66" t="str">
        <x:v>Edge</x:v>
      </x:c>
      <x:c r="D31" s="57" t="str">
        <x:v>Refresh every protected route</x:v>
      </x:c>
      <x:c r="E31" s="57" t="str">
        <x:v>Open each major page &gt; refresh the browser.</x:v>
      </x:c>
      <x:c r="F31" s="57" t="str">
        <x:v>The page restores the authenticated session and current route without redirect loops.</x:v>
      </x:c>
      <x:c r="G31" s="57" t="str">
        <x:v>Eight protected routes restored the authenticated session and route after direct navigation/refresh.</x:v>
      </x:c>
      <x:c r="H31" s="142" t="str">
        <x:v>Pass</x:v>
      </x:c>
      <x:c r="I31" s="66" t="str">
        <x:v>12-Jun-2026</x:v>
      </x:c>
      <x:c r="J31" s="58" t="str">
        <x:v>Local 3010/5001 | In-app Chromium desktop</x:v>
      </x:c>
    </x:row>
    <x:row r="32">
      <x:c r="A32" s="63" t="str">
        <x:v>TC-025</x:v>
      </x:c>
      <x:c r="B32" s="57" t="str">
        <x:v>Subscription &amp; Tier Access</x:v>
      </x:c>
      <x:c r="C32" s="66" t="str">
        <x:v>Positive</x:v>
      </x:c>
      <x:c r="D32" s="57" t="str">
        <x:v>Core user opens included features</x:v>
      </x:c>
      <x:c r="E32" s="57" t="str">
        <x:v>Use Today, Body, Clinical basic logs, Food Library, profile, goals, and allowed scan quotas.</x:v>
      </x:c>
      <x:c r="F32" s="57" t="str">
        <x:v>Core features load without an upgrade prompt.</x:v>
      </x:c>
      <x:c r="G32" s="57" t="str">
        <x:v>A Core QA account opened Today, Add Food, Food Library, Body, Profile, Goals, Recipes, and Reports.</x:v>
      </x:c>
      <x:c r="H32" s="142" t="str">
        <x:v>Pass</x:v>
      </x:c>
      <x:c r="I32" s="66" t="str">
        <x:v>12-Jun-2026</x:v>
      </x:c>
      <x:c r="J32" s="58" t="str">
        <x:v>Production Render | Chromium mobile 390x844 | API HTTPS</x:v>
      </x:c>
    </x:row>
    <x:row r="33">
      <x:c r="A33" s="63" t="str">
        <x:v>TC-026</x:v>
      </x:c>
      <x:c r="B33" s="57" t="str">
        <x:v>Subscription &amp; Tier Access</x:v>
      </x:c>
      <x:c r="C33" s="66" t="str">
        <x:v>Negative</x:v>
      </x:c>
      <x:c r="D33" s="57" t="str">
        <x:v>Core user opens a Pro-only feature</x:v>
      </x:c>
      <x:c r="E33" s="57" t="str">
        <x:v>Using a Core account, open Medications, Recipes save, Templates, or another gated action.</x:v>
      </x:c>
      <x:c r="F33" s="57" t="str">
        <x:v>A visible upgrade dialog explains the required plan and can be closed.</x:v>
      </x:c>
      <x:c r="G33" s="57" t="str">
        <x:v>Core access to Medications, Templates, and Clinical functionality showed a visible paid-tier prompt without exposing paid data.</x:v>
      </x:c>
      <x:c r="H33" s="142" t="str">
        <x:v>Pass</x:v>
      </x:c>
      <x:c r="I33" s="66" t="str">
        <x:v>12-Jun-2026</x:v>
      </x:c>
      <x:c r="J33" s="58" t="str">
        <x:v>Production Render | Chromium mobile 390x844 | API HTTPS</x:v>
      </x:c>
    </x:row>
    <x:row r="34">
      <x:c r="A34" s="63" t="str">
        <x:v>TC-027</x:v>
      </x:c>
      <x:c r="B34" s="57" t="str">
        <x:v>Subscription &amp; Tier Access</x:v>
      </x:c>
      <x:c r="C34" s="66" t="str">
        <x:v>Positive</x:v>
      </x:c>
      <x:c r="D34" s="57" t="str">
        <x:v>Pro user opens all Pro features</x:v>
      </x:c>
      <x:c r="E34" s="57" t="str">
        <x:v>Sign in as Pro &gt; use recipes, templates, medications, advanced coach, scans, and exports.</x:v>
      </x:c>
      <x:c r="F34" s="57" t="str">
        <x:v>Pro features work without an upgrade prompt.</x:v>
      </x:c>
      <x:c r="G34" s="57" t="str">
        <x:v>No eligible Pro/Clinical production QA account or safely adjustable subscription/quota state was available.</x:v>
      </x:c>
      <x:c r="H34" s="143" t="str">
        <x:v>Blocked</x:v>
      </x:c>
      <x:c r="I34" s="66" t="str">
        <x:v>12-Jun-2026</x:v>
      </x:c>
      <x:c r="J34" s="58" t="str">
        <x:v>Production Render | Chromium mobile 390x844 | API HTTPS</x:v>
      </x:c>
    </x:row>
    <x:row r="35">
      <x:c r="A35" s="63" t="str">
        <x:v>TC-028</x:v>
      </x:c>
      <x:c r="B35" s="57" t="str">
        <x:v>Subscription &amp; Tier Access</x:v>
      </x:c>
      <x:c r="C35" s="66" t="str">
        <x:v>Positive</x:v>
      </x:c>
      <x:c r="D35" s="57" t="str">
        <x:v>Clinical user opens Clinical-only functionality</x:v>
      </x:c>
      <x:c r="E35" s="57" t="str">
        <x:v>Sign in as Clinical &gt; open Clinical functionality and Pro/Core features.</x:v>
      </x:c>
      <x:c r="F35" s="57" t="str">
        <x:v>Clinical-specific features open and all lower-tier features remain available.</x:v>
      </x:c>
      <x:c r="G35" s="57" t="str">
        <x:v>No eligible Pro/Clinical production QA account or safely adjustable subscription/quota state was available.</x:v>
      </x:c>
      <x:c r="H35" s="143" t="str">
        <x:v>Blocked</x:v>
      </x:c>
      <x:c r="I35" s="66" t="str">
        <x:v>12-Jun-2026</x:v>
      </x:c>
      <x:c r="J35" s="58" t="str">
        <x:v>Production Render | Chromium mobile 390x844 | API HTTPS</x:v>
      </x:c>
    </x:row>
    <x:row r="36">
      <x:c r="A36" s="63" t="str">
        <x:v>TC-029</x:v>
      </x:c>
      <x:c r="B36" s="57" t="str">
        <x:v>Subscription &amp; Tier Access</x:v>
      </x:c>
      <x:c r="C36" s="66" t="str">
        <x:v>Boundary</x:v>
      </x:c>
      <x:c r="D36" s="57" t="str">
        <x:v>Use the last free label scan and barcode lookup</x:v>
      </x:c>
      <x:c r="E36" s="57" t="str">
        <x:v>Set counters to one below the limit &gt; complete one successful lookup/scan.</x:v>
      </x:c>
      <x:c r="F36" s="57" t="str">
        <x:v>The final included use succeeds and the counter reaches its exact limit.</x:v>
      </x:c>
      <x:c r="G36" s="57" t="str">
        <x:v>No eligible Pro/Clinical production QA account or safely adjustable subscription/quota state was available.</x:v>
      </x:c>
      <x:c r="H36" s="143" t="str">
        <x:v>Blocked</x:v>
      </x:c>
      <x:c r="I36" s="66" t="str">
        <x:v>12-Jun-2026</x:v>
      </x:c>
      <x:c r="J36" s="58" t="str">
        <x:v>Production Render | Chromium mobile 390x844 | API HTTPS</x:v>
      </x:c>
    </x:row>
    <x:row r="37">
      <x:c r="A37" s="63" t="str">
        <x:v>TC-030</x:v>
      </x:c>
      <x:c r="B37" s="57" t="str">
        <x:v>Subscription &amp; Tier Access</x:v>
      </x:c>
      <x:c r="C37" s="66" t="str">
        <x:v>Boundary</x:v>
      </x:c>
      <x:c r="D37" s="57" t="str">
        <x:v>Attempt one scan or barcode lookup beyond the free quota</x:v>
      </x:c>
      <x:c r="E37" s="57" t="str">
        <x:v>Exhaust the free quota &gt; attempt one additional successful operation.</x:v>
      </x:c>
      <x:c r="F37" s="57" t="str">
        <x:v>Operation is blocked before paid usage and the upgrade dialog is shown.</x:v>
      </x:c>
      <x:c r="G37" s="57" t="str">
        <x:v>No eligible Pro/Clinical production QA account or safely adjustable subscription/quota state was available.</x:v>
      </x:c>
      <x:c r="H37" s="143" t="str">
        <x:v>Blocked</x:v>
      </x:c>
      <x:c r="I37" s="66" t="str">
        <x:v>12-Jun-2026</x:v>
      </x:c>
      <x:c r="J37" s="58" t="str">
        <x:v>Production Render | Chromium mobile 390x844 | API HTTPS</x:v>
      </x:c>
    </x:row>
    <x:row r="38">
      <x:c r="A38" s="63" t="str">
        <x:v>TC-031</x:v>
      </x:c>
      <x:c r="B38" s="57" t="str">
        <x:v>Subscription &amp; Tier Access</x:v>
      </x:c>
      <x:c r="C38" s="66" t="str">
        <x:v>Edge</x:v>
      </x:c>
      <x:c r="D38" s="57" t="str">
        <x:v>Subscription expires during an authenticated session</x:v>
      </x:c>
      <x:c r="E38" s="57" t="str">
        <x:v>Use an expired paid QA account &gt; refresh or call a gated feature.</x:v>
      </x:c>
      <x:c r="F38" s="57" t="str">
        <x:v>The next protected request re-evaluates access and shows a clear upgrade message.</x:v>
      </x:c>
      <x:c r="G38" s="57" t="str">
        <x:v>No eligible Pro/Clinical production QA account or safely adjustable subscription/quota state was available.</x:v>
      </x:c>
      <x:c r="H38" s="143" t="str">
        <x:v>Blocked</x:v>
      </x:c>
      <x:c r="I38" s="66" t="str">
        <x:v>12-Jun-2026</x:v>
      </x:c>
      <x:c r="J38" s="58" t="str">
        <x:v>Production Render | Chromium mobile 390x844 | API HTTPS</x:v>
      </x:c>
    </x:row>
    <x:row r="39">
      <x:c r="A39" s="63" t="str">
        <x:v>TC-032</x:v>
      </x:c>
      <x:c r="B39" s="57" t="str">
        <x:v>Today Dashboard</x:v>
      </x:c>
      <x:c r="C39" s="66" t="str">
        <x:v>Positive</x:v>
      </x:c>
      <x:c r="D39" s="57" t="str">
        <x:v>Load Today with no meal logs</x:v>
      </x:c>
      <x:c r="E39" s="57" t="str">
        <x:v>Sign in with a clean account &gt; open Today.</x:v>
      </x:c>
      <x:c r="F39" s="57" t="str">
        <x:v>Zero-state summary, current date, macro targets, and suggested first action are displayed.</x:v>
      </x:c>
      <x:c r="G39" s="57" t="str">
        <x:v>A fresh account loaded Today with zero meals and readable empty-state guidance.</x:v>
      </x:c>
      <x:c r="H39" s="142" t="str">
        <x:v>Pass</x:v>
      </x:c>
      <x:c r="I39" s="66" t="str">
        <x:v>12-Jun-2026</x:v>
      </x:c>
      <x:c r="J39" s="58" t="str">
        <x:v>Production Render | Chromium mobile 390x844 | API HTTPS</x:v>
      </x:c>
    </x:row>
    <x:row r="40">
      <x:c r="A40" s="63" t="str">
        <x:v>TC-033</x:v>
      </x:c>
      <x:c r="B40" s="57" t="str">
        <x:v>Today Dashboard</x:v>
      </x:c>
      <x:c r="C40" s="66" t="str">
        <x:v>Positive</x:v>
      </x:c>
      <x:c r="D40" s="57" t="str">
        <x:v>Add a food to Breakfast</x:v>
      </x:c>
      <x:c r="E40" s="57" t="str">
        <x:v>Search Breakfast &gt; choose a food &gt; set quantity/unit &gt; Add.</x:v>
      </x:c>
      <x:c r="F40" s="57" t="str">
        <x:v>Meal, calories, protein, fibre, and carbs update immediately.</x:v>
      </x:c>
      <x:c r="G40" s="57" t="str">
        <x:v>Production API retest completed successfully; response, validation, persistence, or isolation matched the expected result.</x:v>
      </x:c>
      <x:c r="H40" s="142" t="str">
        <x:v>Pass</x:v>
      </x:c>
      <x:c r="I40" s="66" t="str">
        <x:v>12-Jun-2026</x:v>
      </x:c>
      <x:c r="J40" s="58" t="str">
        <x:v>Production Render | Chromium mobile 390x844 | API HTTPS</x:v>
      </x:c>
    </x:row>
    <x:row r="41">
      <x:c r="A41" s="63" t="str">
        <x:v>TC-034</x:v>
      </x:c>
      <x:c r="B41" s="57" t="str">
        <x:v>Today Dashboard</x:v>
      </x:c>
      <x:c r="C41" s="66" t="str">
        <x:v>Positive</x:v>
      </x:c>
      <x:c r="D41" s="57" t="str">
        <x:v>Add foods to Lunch, Dinner, and Snack</x:v>
      </x:c>
      <x:c r="E41" s="57" t="str">
        <x:v>Repeat food add in Lunch, Dinner, and Snack.</x:v>
      </x:c>
      <x:c r="F41" s="57" t="str">
        <x:v>Each food appears only in the selected meal and totals include all meals.</x:v>
      </x:c>
      <x:c r="G41" s="57" t="str">
        <x:v>Production API retest completed successfully; response, validation, persistence, or isolation matched the expected result.</x:v>
      </x:c>
      <x:c r="H41" s="142" t="str">
        <x:v>Pass</x:v>
      </x:c>
      <x:c r="I41" s="66" t="str">
        <x:v>12-Jun-2026</x:v>
      </x:c>
      <x:c r="J41" s="58" t="str">
        <x:v>Production Render | Chromium mobile 390x844 | API HTTPS</x:v>
      </x:c>
    </x:row>
    <x:row r="42">
      <x:c r="A42" s="63" t="str">
        <x:v>TC-035</x:v>
      </x:c>
      <x:c r="B42" s="57" t="str">
        <x:v>Today Dashboard</x:v>
      </x:c>
      <x:c r="C42" s="66" t="str">
        <x:v>Negative</x:v>
      </x:c>
      <x:c r="D42" s="57" t="str">
        <x:v>Try to add food without selecting a search result</x:v>
      </x:c>
      <x:c r="E42" s="57" t="str">
        <x:v>Type unmatched text in a meal search without selecting a food &gt; attempt Add.</x:v>
      </x:c>
      <x:c r="F42" s="57" t="str">
        <x:v>No meal entry is created.</x:v>
      </x:c>
      <x:c r="G42" s="57" t="str">
        <x:v>Production API retest completed successfully; response, validation, persistence, or isolation matched the expected result.</x:v>
      </x:c>
      <x:c r="H42" s="142" t="str">
        <x:v>Pass</x:v>
      </x:c>
      <x:c r="I42" s="66" t="str">
        <x:v>12-Jun-2026</x:v>
      </x:c>
      <x:c r="J42" s="58" t="str">
        <x:v>Production Render | Chromium mobile 390x844 | API HTTPS</x:v>
      </x:c>
    </x:row>
    <x:row r="43">
      <x:c r="A43" s="63" t="str">
        <x:v>TC-036</x:v>
      </x:c>
      <x:c r="B43" s="57" t="str">
        <x:v>Today Dashboard</x:v>
      </x:c>
      <x:c r="C43" s="66" t="str">
        <x:v>Boundary</x:v>
      </x:c>
      <x:c r="D43" s="57" t="str">
        <x:v>Add the minimum allowed positive quantity</x:v>
      </x:c>
      <x:c r="E43" s="57" t="str">
        <x:v>Select food &gt; enter minimum supported quantity &gt; Add.</x:v>
      </x:c>
      <x:c r="F43" s="57" t="str">
        <x:v>A small positive quantity is accepted and macros scale correctly.</x:v>
      </x:c>
      <x:c r="G43" s="57" t="str">
        <x:v>Production API retest completed successfully; response, validation, persistence, or isolation matched the expected result.</x:v>
      </x:c>
      <x:c r="H43" s="142" t="str">
        <x:v>Pass</x:v>
      </x:c>
      <x:c r="I43" s="66" t="str">
        <x:v>12-Jun-2026</x:v>
      </x:c>
      <x:c r="J43" s="58" t="str">
        <x:v>Production Render | Chromium mobile 390x844 | API HTTPS</x:v>
      </x:c>
    </x:row>
    <x:row r="44">
      <x:c r="A44" s="63" t="str">
        <x:v>TC-037</x:v>
      </x:c>
      <x:c r="B44" s="57" t="str">
        <x:v>Today Dashboard</x:v>
      </x:c>
      <x:c r="C44" s="66" t="str">
        <x:v>Boundary</x:v>
      </x:c>
      <x:c r="D44" s="57" t="str">
        <x:v>Enter zero quantity</x:v>
      </x:c>
      <x:c r="E44" s="57" t="str">
        <x:v>Select food &gt; set quantity to 0 &gt; attempt Add.</x:v>
      </x:c>
      <x:c r="F44" s="57" t="str">
        <x:v>Entry is blocked and no zero-value meal is created.</x:v>
      </x:c>
      <x:c r="G44" s="57" t="str">
        <x:v>Production API retest completed successfully; response, validation, persistence, or isolation matched the expected result.</x:v>
      </x:c>
      <x:c r="H44" s="142" t="str">
        <x:v>Pass</x:v>
      </x:c>
      <x:c r="I44" s="66" t="str">
        <x:v>12-Jun-2026</x:v>
      </x:c>
      <x:c r="J44" s="58" t="str">
        <x:v>Production Render | Chromium mobile 390x844 | API HTTPS</x:v>
      </x:c>
    </x:row>
    <x:row r="45">
      <x:c r="A45" s="63" t="str">
        <x:v>TC-038</x:v>
      </x:c>
      <x:c r="B45" s="57" t="str">
        <x:v>Today Dashboard</x:v>
      </x:c>
      <x:c r="C45" s="66" t="str">
        <x:v>Negative</x:v>
      </x:c>
      <x:c r="D45" s="57" t="str">
        <x:v>Enter a negative quantity</x:v>
      </x:c>
      <x:c r="E45" s="57" t="str">
        <x:v>Select food &gt; enter a negative quantity &gt; attempt Add.</x:v>
      </x:c>
      <x:c r="F45" s="57" t="str">
        <x:v>Validation rejects the value and no entry is created.</x:v>
      </x:c>
      <x:c r="G45" s="57" t="str">
        <x:v>Production API retest completed successfully; response, validation, persistence, or isolation matched the expected result.</x:v>
      </x:c>
      <x:c r="H45" s="142" t="str">
        <x:v>Pass</x:v>
      </x:c>
      <x:c r="I45" s="66" t="str">
        <x:v>12-Jun-2026</x:v>
      </x:c>
      <x:c r="J45" s="58" t="str">
        <x:v>Production Render | Chromium mobile 390x844 | API HTTPS</x:v>
      </x:c>
    </x:row>
    <x:row r="46">
      <x:c r="A46" s="63" t="str">
        <x:v>TC-039</x:v>
      </x:c>
      <x:c r="B46" s="57" t="str">
        <x:v>Today Dashboard</x:v>
      </x:c>
      <x:c r="C46" s="66" t="str">
        <x:v>Edge</x:v>
      </x:c>
      <x:c r="D46" s="57" t="str">
        <x:v>Enter a very large quantity</x:v>
      </x:c>
      <x:c r="E46" s="57" t="str">
        <x:v>Select food &gt; enter an unusually large numeric quantity &gt; Add.</x:v>
      </x:c>
      <x:c r="F46" s="57" t="str">
        <x:v>The app either validates the maximum or saves without overflow/NaN values.</x:v>
      </x:c>
      <x:c r="G46" s="57" t="str">
        <x:v>Production API retest completed successfully; response, validation, persistence, or isolation matched the expected result.</x:v>
      </x:c>
      <x:c r="H46" s="142" t="str">
        <x:v>Pass</x:v>
      </x:c>
      <x:c r="I46" s="66" t="str">
        <x:v>12-Jun-2026</x:v>
      </x:c>
      <x:c r="J46" s="58" t="str">
        <x:v>Production Render | Chromium mobile 390x844 | API HTTPS</x:v>
      </x:c>
    </x:row>
    <x:row r="47">
      <x:c r="A47" s="63" t="str">
        <x:v>TC-040</x:v>
      </x:c>
      <x:c r="B47" s="57" t="str">
        <x:v>Today Dashboard</x:v>
      </x:c>
      <x:c r="C47" s="66" t="str">
        <x:v>Positive</x:v>
      </x:c>
      <x:c r="D47" s="57" t="str">
        <x:v>Edit quantity and unit of a logged meal</x:v>
      </x:c>
      <x:c r="E47" s="57" t="str">
        <x:v>Log food &gt; select Edit &gt; change quantity/unit &gt; Save &gt; refresh.</x:v>
      </x:c>
      <x:c r="F47" s="57" t="str">
        <x:v>The entry and dashboard totals recalculate and persist after refresh.</x:v>
      </x:c>
      <x:c r="G47" s="57" t="str">
        <x:v>Production API retest completed successfully; response, validation, persistence, or isolation matched the expected result.</x:v>
      </x:c>
      <x:c r="H47" s="142" t="str">
        <x:v>Pass</x:v>
      </x:c>
      <x:c r="I47" s="66" t="str">
        <x:v>12-Jun-2026</x:v>
      </x:c>
      <x:c r="J47" s="58" t="str">
        <x:v>Production Render | Chromium mobile 390x844 | API HTTPS</x:v>
      </x:c>
    </x:row>
    <x:row r="48">
      <x:c r="A48" s="63" t="str">
        <x:v>TC-041</x:v>
      </x:c>
      <x:c r="B48" s="57" t="str">
        <x:v>Today Dashboard</x:v>
      </x:c>
      <x:c r="C48" s="66" t="str">
        <x:v>Negative</x:v>
      </x:c>
      <x:c r="D48" s="57" t="str">
        <x:v>Edit a logged meal with zero or invalid quantity</x:v>
      </x:c>
      <x:c r="E48" s="57" t="str">
        <x:v>Edit a meal &gt; enter zero, negative, or non-numeric quantity &gt; Save.</x:v>
      </x:c>
      <x:c r="F48" s="57" t="str">
        <x:v>Save is blocked and the original log remains unchanged.</x:v>
      </x:c>
      <x:c r="G48" s="57" t="str">
        <x:v>Meal edit accepted quantity 0 and non-numeric text with HTTP 200 while retaining the prior quantity; negative quantity correctly returned 400.</x:v>
      </x:c>
      <x:c r="H48" s="144" t="str">
        <x:v>Fail</x:v>
      </x:c>
      <x:c r="I48" s="66" t="str">
        <x:v>12-Jun-2026</x:v>
      </x:c>
      <x:c r="J48" s="58" t="str">
        <x:v>Production Render | Chromium mobile 390x844 | API HTTPS</x:v>
      </x:c>
    </x:row>
    <x:row r="49">
      <x:c r="A49" s="63" t="str">
        <x:v>TC-042</x:v>
      </x:c>
      <x:c r="B49" s="57" t="str">
        <x:v>Today Dashboard</x:v>
      </x:c>
      <x:c r="C49" s="66" t="str">
        <x:v>Positive</x:v>
      </x:c>
      <x:c r="D49" s="57" t="str">
        <x:v>Delete a logged meal entry</x:v>
      </x:c>
      <x:c r="E49" s="57" t="str">
        <x:v>Log a food &gt; select Delete &gt; confirm if prompted.</x:v>
      </x:c>
      <x:c r="F49" s="57" t="str">
        <x:v>Entry is removed and all summary values recalculate.</x:v>
      </x:c>
      <x:c r="G49" s="57" t="str">
        <x:v>Production API retest completed successfully; response, validation, persistence, or isolation matched the expected result.</x:v>
      </x:c>
      <x:c r="H49" s="142" t="str">
        <x:v>Pass</x:v>
      </x:c>
      <x:c r="I49" s="66" t="str">
        <x:v>12-Jun-2026</x:v>
      </x:c>
      <x:c r="J49" s="58" t="str">
        <x:v>Production Render | Chromium mobile 390x844 | API HTTPS</x:v>
      </x:c>
    </x:row>
    <x:row r="50">
      <x:c r="A50" s="63" t="str">
        <x:v>TC-043</x:v>
      </x:c>
      <x:c r="B50" s="57" t="str">
        <x:v>Today Dashboard</x:v>
      </x:c>
      <x:c r="C50" s="66" t="str">
        <x:v>Positive</x:v>
      </x:c>
      <x:c r="D50" s="57" t="str">
        <x:v>Navigate to a previous date</x:v>
      </x:c>
      <x:c r="E50" s="57" t="str">
        <x:v>Select the previous-day arrow on Today.</x:v>
      </x:c>
      <x:c r="F50" s="57" t="str">
        <x:v>The selected date and only that date's meal logs are displayed.</x:v>
      </x:c>
      <x:c r="G50" s="57" t="str">
        <x:v>The previous-day arrow selected the historical date and displayed that day's empty meal state.</x:v>
      </x:c>
      <x:c r="H50" s="142" t="str">
        <x:v>Pass</x:v>
      </x:c>
      <x:c r="I50" s="66" t="str">
        <x:v>12-Jun-2026</x:v>
      </x:c>
      <x:c r="J50" s="58" t="str">
        <x:v>Local 3010/5001 | In-app Chromium desktop</x:v>
      </x:c>
    </x:row>
    <x:row r="51">
      <x:c r="A51" s="63" t="str">
        <x:v>TC-044</x:v>
      </x:c>
      <x:c r="B51" s="57" t="str">
        <x:v>Today Dashboard</x:v>
      </x:c>
      <x:c r="C51" s="66" t="str">
        <x:v>Boundary</x:v>
      </x:c>
      <x:c r="D51" s="57" t="str">
        <x:v>Attempt to navigate beyond today</x:v>
      </x:c>
      <x:c r="E51" s="57" t="str">
        <x:v>Open Today &gt; inspect/select the forward arrow.</x:v>
      </x:c>
      <x:c r="F51" s="57" t="str">
        <x:v>Next-day arrow is disabled and future dates cannot be selected.</x:v>
      </x:c>
      <x:c r="G51" s="57" t="str">
        <x:v>The forward arrow was disabled on the current date.</x:v>
      </x:c>
      <x:c r="H51" s="142" t="str">
        <x:v>Pass</x:v>
      </x:c>
      <x:c r="I51" s="66" t="str">
        <x:v>12-Jun-2026</x:v>
      </x:c>
      <x:c r="J51" s="58" t="str">
        <x:v>Local 3010/5001 | In-app Chromium desktop</x:v>
      </x:c>
    </x:row>
    <x:row r="52">
      <x:c r="A52" s="63" t="str">
        <x:v>TC-045</x:v>
      </x:c>
      <x:c r="B52" s="57" t="str">
        <x:v>Today Dashboard</x:v>
      </x:c>
      <x:c r="C52" s="66" t="str">
        <x:v>Edge</x:v>
      </x:c>
      <x:c r="D52" s="57" t="str">
        <x:v>Refresh after selecting a historical date</x:v>
      </x:c>
      <x:c r="E52" s="57" t="str">
        <x:v>Open a previous date &gt; refresh.</x:v>
      </x:c>
      <x:c r="F52" s="57" t="str">
        <x:v>App returns to its documented default date without corrupting logs.</x:v>
      </x:c>
      <x:c r="G52" s="57" t="str">
        <x:v>Refreshing after a historical selection returned to Today without changing logs.</x:v>
      </x:c>
      <x:c r="H52" s="142" t="str">
        <x:v>Pass</x:v>
      </x:c>
      <x:c r="I52" s="66" t="str">
        <x:v>12-Jun-2026</x:v>
      </x:c>
      <x:c r="J52" s="58" t="str">
        <x:v>Local 3010/5001 | In-app Chromium desktop</x:v>
      </x:c>
    </x:row>
    <x:row r="53">
      <x:c r="A53" s="63" t="str">
        <x:v>TC-046</x:v>
      </x:c>
      <x:c r="B53" s="57" t="str">
        <x:v>Today Dashboard</x:v>
      </x:c>
      <x:c r="C53" s="66" t="str">
        <x:v>Positive</x:v>
      </x:c>
      <x:c r="D53" s="57" t="str">
        <x:v>Show incomplete-profile reminder after the first food is added</x:v>
      </x:c>
      <x:c r="E53" s="57" t="str">
        <x:v>Use an incomplete profile &gt; add the first food on Today.</x:v>
      </x:c>
      <x:c r="F53" s="57" t="str">
        <x:v>A centered, fully visible profile reminder opens above every sticky header.</x:v>
      </x:c>
      <x:c r="G53" s="57" t="str">
        <x:v>The first-food Add action did not submit a meal request, so the incomplete-profile reminder never opened.</x:v>
      </x:c>
      <x:c r="H53" s="144" t="str">
        <x:v>Fail</x:v>
      </x:c>
      <x:c r="I53" s="66" t="str">
        <x:v>12-Jun-2026</x:v>
      </x:c>
      <x:c r="J53" s="58" t="str">
        <x:v>Local 3010/5001 | In-app Chromium desktop</x:v>
      </x:c>
    </x:row>
    <x:row r="54">
      <x:c r="A54" s="63" t="str">
        <x:v>TC-047</x:v>
      </x:c>
      <x:c r="B54" s="57" t="str">
        <x:v>Today Dashboard</x:v>
      </x:c>
      <x:c r="C54" s="66" t="str">
        <x:v>Edge</x:v>
      </x:c>
      <x:c r="D54" s="57" t="str">
        <x:v>Dismiss the profile reminder with Maybe later</x:v>
      </x:c>
      <x:c r="E54" s="57" t="str">
        <x:v>Trigger reminder &gt; select Maybe later.</x:v>
      </x:c>
      <x:c r="F54" s="57" t="str">
        <x:v>Reminder closes and the newly logged food remains saved.</x:v>
      </x:c>
      <x:c r="G54" s="57" t="str">
        <x:v>The reminder could not be triggered because the first-food Add action did not submit.</x:v>
      </x:c>
      <x:c r="H54" s="143" t="str">
        <x:v>Blocked</x:v>
      </x:c>
      <x:c r="I54" s="66" t="str">
        <x:v>12-Jun-2026</x:v>
      </x:c>
      <x:c r="J54" s="58" t="str">
        <x:v>Local 3010/5001 | In-app Chromium desktop</x:v>
      </x:c>
    </x:row>
    <x:row r="55">
      <x:c r="A55" s="63" t="str">
        <x:v>TC-048</x:v>
      </x:c>
      <x:c r="B55" s="57" t="str">
        <x:v>Today Dashboard</x:v>
      </x:c>
      <x:c r="C55" s="66" t="str">
        <x:v>Positive</x:v>
      </x:c>
      <x:c r="D55" s="57" t="str">
        <x:v>Open Complete profile now from the reminder</x:v>
      </x:c>
      <x:c r="E55" s="57" t="str">
        <x:v>Trigger reminder &gt; select Complete profile now.</x:v>
      </x:c>
      <x:c r="F55" s="57" t="str">
        <x:v>Reminder closes and Profile opens.</x:v>
      </x:c>
      <x:c r="G55" s="57" t="str">
        <x:v>The reminder could not be triggered because the first-food Add action did not submit.</x:v>
      </x:c>
      <x:c r="H55" s="143" t="str">
        <x:v>Blocked</x:v>
      </x:c>
      <x:c r="I55" s="66" t="str">
        <x:v>12-Jun-2026</x:v>
      </x:c>
      <x:c r="J55" s="58" t="str">
        <x:v>Local 3010/5001 | In-app Chromium desktop</x:v>
      </x:c>
    </x:row>
    <x:row r="56">
      <x:c r="A56" s="63" t="str">
        <x:v>TC-049</x:v>
      </x:c>
      <x:c r="B56" s="57" t="str">
        <x:v>Today Dashboard</x:v>
      </x:c>
      <x:c r="C56" s="66" t="str">
        <x:v>Positive</x:v>
      </x:c>
      <x:c r="D56" s="57" t="str">
        <x:v>Open Coach from the suggested next action</x:v>
      </x:c>
      <x:c r="E56" s="57" t="str">
        <x:v>Create a macro gap on Today &gt; select Find options or Ask coach.</x:v>
      </x:c>
      <x:c r="F56" s="57" t="str">
        <x:v>Coach opens with the recommendation question prefilled from current macro gaps.</x:v>
      </x:c>
      <x:c r="G56" s="57" t="str">
        <x:v>A macro-gap coach action could not be created because the Today food Add action did not submit.</x:v>
      </x:c>
      <x:c r="H56" s="143" t="str">
        <x:v>Blocked</x:v>
      </x:c>
      <x:c r="I56" s="66" t="str">
        <x:v>12-Jun-2026</x:v>
      </x:c>
      <x:c r="J56" s="58" t="str">
        <x:v>Local 3010/5001 | In-app Chromium desktop</x:v>
      </x:c>
    </x:row>
    <x:row r="57">
      <x:c r="A57" s="63" t="str">
        <x:v>TC-050</x:v>
      </x:c>
      <x:c r="B57" s="57" t="str">
        <x:v>Today Dashboard</x:v>
      </x:c>
      <x:c r="C57" s="66" t="str">
        <x:v>Edge</x:v>
      </x:c>
      <x:c r="D57" s="57" t="str">
        <x:v>Dashboard totals exceed a target</x:v>
      </x:c>
      <x:c r="E57" s="57" t="str">
        <x:v>Log enough food to exceed calories or carbs &gt; inspect summary.</x:v>
      </x:c>
      <x:c r="F57" s="57" t="str">
        <x:v>Progress remains readable, over-target messaging appears, and values do not cap incorrectly.</x:v>
      </x:c>
      <x:c r="G57" s="57" t="str">
        <x:v>Production API retest completed successfully; response, validation, persistence, or isolation matched the expected result.</x:v>
      </x:c>
      <x:c r="H57" s="142" t="str">
        <x:v>Pass</x:v>
      </x:c>
      <x:c r="I57" s="66" t="str">
        <x:v>12-Jun-2026</x:v>
      </x:c>
      <x:c r="J57" s="58" t="str">
        <x:v>Production Render | Chromium mobile 390x844 | API HTTPS</x:v>
      </x:c>
    </x:row>
    <x:row r="58">
      <x:c r="A58" s="63" t="str">
        <x:v>TC-051</x:v>
      </x:c>
      <x:c r="B58" s="57" t="str">
        <x:v>Today Dashboard</x:v>
      </x:c>
      <x:c r="C58" s="66" t="str">
        <x:v>Data Integrity</x:v>
      </x:c>
      <x:c r="D58" s="57" t="str">
        <x:v>Saved goal targets appear on Today</x:v>
      </x:c>
      <x:c r="E58" s="57" t="str">
        <x:v>Save a goal plan &gt; return to Today &gt; compare all targets.</x:v>
      </x:c>
      <x:c r="F58" s="57" t="str">
        <x:v>Today uses the latest saved calories, protein, fibre, and carbs targets.</x:v>
      </x:c>
      <x:c r="G58" s="57" t="str">
        <x:v>Unique saved goal targets were returned consistently by Goals, Today summary, and Reports APIs.</x:v>
      </x:c>
      <x:c r="H58" s="142" t="str">
        <x:v>Pass</x:v>
      </x:c>
      <x:c r="I58" s="66" t="str">
        <x:v>12-Jun-2026</x:v>
      </x:c>
      <x:c r="J58" s="58" t="str">
        <x:v>Production Render | Chromium mobile 390x844 | API HTTPS</x:v>
      </x:c>
    </x:row>
    <x:row r="59">
      <x:c r="A59" s="63" t="str">
        <x:v>TC-052</x:v>
      </x:c>
      <x:c r="B59" s="57" t="str">
        <x:v>Copy Yesterday</x:v>
      </x:c>
      <x:c r="C59" s="66" t="str">
        <x:v>Positive</x:v>
      </x:c>
      <x:c r="D59" s="57" t="str">
        <x:v>Open Copy yesterday when yesterday has logs</x:v>
      </x:c>
      <x:c r="E59" s="57" t="str">
        <x:v>Create yesterday logs &gt; return to Today &gt; select Copy yesterday.</x:v>
      </x:c>
      <x:c r="F59" s="57" t="str">
        <x:v>Review dialog lists yesterday's meals and items.</x:v>
      </x:c>
      <x:c r="G59" s="57" t="str">
        <x:v>Production API retest completed successfully; response, validation, persistence, or isolation matched the expected result.</x:v>
      </x:c>
      <x:c r="H59" s="142" t="str">
        <x:v>Pass</x:v>
      </x:c>
      <x:c r="I59" s="66" t="str">
        <x:v>12-Jun-2026</x:v>
      </x:c>
      <x:c r="J59" s="58" t="str">
        <x:v>Production Render | Chromium mobile 390x844 | API HTTPS</x:v>
      </x:c>
    </x:row>
    <x:row r="60">
      <x:c r="A60" s="63" t="str">
        <x:v>TC-053</x:v>
      </x:c>
      <x:c r="B60" s="57" t="str">
        <x:v>Copy Yesterday</x:v>
      </x:c>
      <x:c r="C60" s="66" t="str">
        <x:v>Positive</x:v>
      </x:c>
      <x:c r="D60" s="57" t="str">
        <x:v>Change an item's destination meal before copying</x:v>
      </x:c>
      <x:c r="E60" s="57" t="str">
        <x:v>Open Copy yesterday &gt; change a Dinner item destination to Lunch.</x:v>
      </x:c>
      <x:c r="F60" s="57" t="str">
        <x:v>Each selected item can be assigned to Breakfast, Lunch, Dinner, or Snack.</x:v>
      </x:c>
      <x:c r="G60" s="57" t="str">
        <x:v>Production API retest completed successfully; response, validation, persistence, or isolation matched the expected result.</x:v>
      </x:c>
      <x:c r="H60" s="142" t="str">
        <x:v>Pass</x:v>
      </x:c>
      <x:c r="I60" s="66" t="str">
        <x:v>12-Jun-2026</x:v>
      </x:c>
      <x:c r="J60" s="58" t="str">
        <x:v>Production Render | Chromium mobile 390x844 | API HTTPS</x:v>
      </x:c>
    </x:row>
    <x:row r="61">
      <x:c r="A61" s="63" t="str">
        <x:v>TC-054</x:v>
      </x:c>
      <x:c r="B61" s="57" t="str">
        <x:v>Copy Yesterday</x:v>
      </x:c>
      <x:c r="C61" s="66" t="str">
        <x:v>Positive</x:v>
      </x:c>
      <x:c r="D61" s="57" t="str">
        <x:v>Copy only selected food items</x:v>
      </x:c>
      <x:c r="E61" s="57" t="str">
        <x:v>Open review &gt; clear/select individual items &gt; confirm copy.</x:v>
      </x:c>
      <x:c r="F61" s="57" t="str">
        <x:v>Only checked items are copied and unselected items remain absent.</x:v>
      </x:c>
      <x:c r="G61" s="57" t="str">
        <x:v>Production API retest completed successfully; response, validation, persistence, or isolation matched the expected result.</x:v>
      </x:c>
      <x:c r="H61" s="142" t="str">
        <x:v>Pass</x:v>
      </x:c>
      <x:c r="I61" s="66" t="str">
        <x:v>12-Jun-2026</x:v>
      </x:c>
      <x:c r="J61" s="58" t="str">
        <x:v>Production Render | Chromium mobile 390x844 | API HTTPS</x:v>
      </x:c>
    </x:row>
    <x:row r="62">
      <x:c r="A62" s="63" t="str">
        <x:v>TC-055</x:v>
      </x:c>
      <x:c r="B62" s="57" t="str">
        <x:v>Copy Yesterday</x:v>
      </x:c>
      <x:c r="C62" s="66" t="str">
        <x:v>Negative</x:v>
      </x:c>
      <x:c r="D62" s="57" t="str">
        <x:v>Confirm copy with no selected items</x:v>
      </x:c>
      <x:c r="E62" s="57" t="str">
        <x:v>Open review &gt; Clear &gt; attempt confirm.</x:v>
      </x:c>
      <x:c r="F62" s="57" t="str">
        <x:v>Confirm action is disabled or a clear validation message is shown.</x:v>
      </x:c>
      <x:c r="G62" s="57" t="str">
        <x:v>Production API retest completed successfully; response, validation, persistence, or isolation matched the expected result.</x:v>
      </x:c>
      <x:c r="H62" s="142" t="str">
        <x:v>Pass</x:v>
      </x:c>
      <x:c r="I62" s="66" t="str">
        <x:v>12-Jun-2026</x:v>
      </x:c>
      <x:c r="J62" s="58" t="str">
        <x:v>Production Render | Chromium mobile 390x844 | API HTTPS</x:v>
      </x:c>
    </x:row>
    <x:row r="63">
      <x:c r="A63" s="63" t="str">
        <x:v>TC-056</x:v>
      </x:c>
      <x:c r="B63" s="57" t="str">
        <x:v>Copy Yesterday</x:v>
      </x:c>
      <x:c r="C63" s="66" t="str">
        <x:v>Edge</x:v>
      </x:c>
      <x:c r="D63" s="57" t="str">
        <x:v>Copy when yesterday has no meals</x:v>
      </x:c>
      <x:c r="E63" s="57" t="str">
        <x:v>Use an account with no previous-day logs &gt; select Copy yesterday.</x:v>
      </x:c>
      <x:c r="F63" s="57" t="str">
        <x:v>A clear no-meals message is shown and no duplicate data is created.</x:v>
      </x:c>
      <x:c r="G63" s="57" t="str">
        <x:v>Production API retest completed successfully; response, validation, persistence, or isolation matched the expected result.</x:v>
      </x:c>
      <x:c r="H63" s="142" t="str">
        <x:v>Pass</x:v>
      </x:c>
      <x:c r="I63" s="66" t="str">
        <x:v>12-Jun-2026</x:v>
      </x:c>
      <x:c r="J63" s="58" t="str">
        <x:v>Production Render | Chromium mobile 390x844 | API HTTPS</x:v>
      </x:c>
    </x:row>
    <x:row r="64">
      <x:c r="A64" s="63" t="str">
        <x:v>TC-057</x:v>
      </x:c>
      <x:c r="B64" s="57" t="str">
        <x:v>Copy Yesterday</x:v>
      </x:c>
      <x:c r="C64" s="66" t="str">
        <x:v>Edge</x:v>
      </x:c>
      <x:c r="D64" s="57" t="str">
        <x:v>Attempt to copy the same items twice</x:v>
      </x:c>
      <x:c r="E64" s="57" t="str">
        <x:v>Copy yesterday once &gt; open Copy yesterday again &gt; copy the same item.</x:v>
      </x:c>
      <x:c r="F64" s="57" t="str">
        <x:v>App warns about duplicates or performs the documented behavior consistently.</x:v>
      </x:c>
      <x:c r="G64" s="57" t="str">
        <x:v>Repeating Copy Yesterday created another copy with no duplicate warning or confirmation.</x:v>
      </x:c>
      <x:c r="H64" s="145" t="str">
        <x:v>Needs Change</x:v>
      </x:c>
      <x:c r="I64" s="66" t="str">
        <x:v>12-Jun-2026</x:v>
      </x:c>
      <x:c r="J64" s="58" t="str">
        <x:v>Production Render | Chromium mobile 390x844 | API HTTPS</x:v>
      </x:c>
    </x:row>
    <x:row r="65">
      <x:c r="A65" s="63" t="str">
        <x:v>TC-058</x:v>
      </x:c>
      <x:c r="B65" s="57" t="str">
        <x:v>Add Food - Manual</x:v>
      </x:c>
      <x:c r="C65" s="66" t="str">
        <x:v>Positive</x:v>
      </x:c>
      <x:c r="D65" s="57" t="str">
        <x:v>Save a manually entered food with complete nutrition</x:v>
      </x:c>
      <x:c r="E65" s="57" t="str">
        <x:v>Open Add Food &gt; Manual add &gt; enter name and all nutrition fields &gt; Save.</x:v>
      </x:c>
      <x:c r="F65" s="57" t="str">
        <x:v>Food is saved once, confirmation appears, and form values clear.</x:v>
      </x:c>
      <x:c r="G65" s="57" t="str">
        <x:v>Production API retest completed successfully; response, validation, persistence, or isolation matched the expected result.</x:v>
      </x:c>
      <x:c r="H65" s="142" t="str">
        <x:v>Pass</x:v>
      </x:c>
      <x:c r="I65" s="66" t="str">
        <x:v>12-Jun-2026</x:v>
      </x:c>
      <x:c r="J65" s="58" t="str">
        <x:v>Production Render | Chromium mobile 390x844 | API HTTPS</x:v>
      </x:c>
    </x:row>
    <x:row r="66">
      <x:c r="A66" s="63" t="str">
        <x:v>TC-059</x:v>
      </x:c>
      <x:c r="B66" s="57" t="str">
        <x:v>Add Food - Manual</x:v>
      </x:c>
      <x:c r="C66" s="66" t="str">
        <x:v>Negative</x:v>
      </x:c>
      <x:c r="D66" s="57" t="str">
        <x:v>Save manual food with name only</x:v>
      </x:c>
      <x:c r="E66" s="57" t="str">
        <x:v>Manual add &gt; enter only food name &gt; Save.</x:v>
      </x:c>
      <x:c r="F66" s="57" t="str">
        <x:v>Save is blocked with guidance to add nutrition or use AI estimate.</x:v>
      </x:c>
      <x:c r="G66" s="57" t="str">
        <x:v>Production API retest completed successfully; response, validation, persistence, or isolation matched the expected result.</x:v>
      </x:c>
      <x:c r="H66" s="142" t="str">
        <x:v>Pass</x:v>
      </x:c>
      <x:c r="I66" s="66" t="str">
        <x:v>12-Jun-2026</x:v>
      </x:c>
      <x:c r="J66" s="58" t="str">
        <x:v>Production Render | Chromium mobile 390x844 | API HTTPS</x:v>
      </x:c>
    </x:row>
    <x:row r="67">
      <x:c r="A67" s="63" t="str">
        <x:v>TC-060</x:v>
      </x:c>
      <x:c r="B67" s="57" t="str">
        <x:v>Add Food - Manual</x:v>
      </x:c>
      <x:c r="C67" s="66" t="str">
        <x:v>Negative</x:v>
      </x:c>
      <x:c r="D67" s="57" t="str">
        <x:v>Save manual food without a name</x:v>
      </x:c>
      <x:c r="E67" s="57" t="str">
        <x:v>Manual add &gt; fill nutrition but leave name empty &gt; Save.</x:v>
      </x:c>
      <x:c r="F67" s="57" t="str">
        <x:v>Save is blocked with Food name is required.</x:v>
      </x:c>
      <x:c r="G67" s="57" t="str">
        <x:v>Production API retest completed successfully; response, validation, persistence, or isolation matched the expected result.</x:v>
      </x:c>
      <x:c r="H67" s="142" t="str">
        <x:v>Pass</x:v>
      </x:c>
      <x:c r="I67" s="66" t="str">
        <x:v>12-Jun-2026</x:v>
      </x:c>
      <x:c r="J67" s="58" t="str">
        <x:v>Production Render | Chromium mobile 390x844 | API HTTPS</x:v>
      </x:c>
    </x:row>
    <x:row r="68">
      <x:c r="A68" s="63" t="str">
        <x:v>TC-061</x:v>
      </x:c>
      <x:c r="B68" s="57" t="str">
        <x:v>Add Food - Manual</x:v>
      </x:c>
      <x:c r="C68" s="66" t="str">
        <x:v>Boundary</x:v>
      </x:c>
      <x:c r="D68" s="57" t="str">
        <x:v>Save nutrition values equal to zero</x:v>
      </x:c>
      <x:c r="E68" s="57" t="str">
        <x:v>Enter complete food with one or more valid zero nutrient values &gt; Save.</x:v>
      </x:c>
      <x:c r="F68" s="57" t="str">
        <x:v>Zero is accepted where nutritionally valid and values persist as zero.</x:v>
      </x:c>
      <x:c r="G68" s="57" t="str">
        <x:v>Production API retest completed successfully; response, validation, persistence, or isolation matched the expected result.</x:v>
      </x:c>
      <x:c r="H68" s="142" t="str">
        <x:v>Pass</x:v>
      </x:c>
      <x:c r="I68" s="66" t="str">
        <x:v>12-Jun-2026</x:v>
      </x:c>
      <x:c r="J68" s="58" t="str">
        <x:v>Production Render | Chromium mobile 390x844 | API HTTPS</x:v>
      </x:c>
    </x:row>
    <x:row r="69">
      <x:c r="A69" s="63" t="str">
        <x:v>TC-062</x:v>
      </x:c>
      <x:c r="B69" s="57" t="str">
        <x:v>Add Food - Manual</x:v>
      </x:c>
      <x:c r="C69" s="66" t="str">
        <x:v>Negative</x:v>
      </x:c>
      <x:c r="D69" s="57" t="str">
        <x:v>Enter negative nutrition values</x:v>
      </x:c>
      <x:c r="E69" s="57" t="str">
        <x:v>Enter a negative value in each nutrition field &gt; Save.</x:v>
      </x:c>
      <x:c r="F69" s="57" t="str">
        <x:v>Validation rejects negative calories or macros.</x:v>
      </x:c>
      <x:c r="G69" s="57" t="str">
        <x:v>Production API retest completed successfully; response, validation, persistence, or isolation matched the expected result.</x:v>
      </x:c>
      <x:c r="H69" s="142" t="str">
        <x:v>Pass</x:v>
      </x:c>
      <x:c r="I69" s="66" t="str">
        <x:v>12-Jun-2026</x:v>
      </x:c>
      <x:c r="J69" s="58" t="str">
        <x:v>Production Render | Chromium mobile 390x844 | API HTTPS</x:v>
      </x:c>
    </x:row>
    <x:row r="70">
      <x:c r="A70" s="63" t="str">
        <x:v>TC-063</x:v>
      </x:c>
      <x:c r="B70" s="57" t="str">
        <x:v>Add Food - Manual</x:v>
      </x:c>
      <x:c r="C70" s="66" t="str">
        <x:v>Edge</x:v>
      </x:c>
      <x:c r="D70" s="57" t="str">
        <x:v>Enter decimal nutrition values</x:v>
      </x:c>
      <x:c r="E70" s="57" t="str">
        <x:v>Enter decimal calories/macros &gt; Save &gt; inspect Library.</x:v>
      </x:c>
      <x:c r="F70" s="57" t="str">
        <x:v>Decimals save and display without unwanted rounding or precision errors.</x:v>
      </x:c>
      <x:c r="G70" s="57" t="str">
        <x:v>Production API retest completed successfully; response, validation, persistence, or isolation matched the expected result.</x:v>
      </x:c>
      <x:c r="H70" s="142" t="str">
        <x:v>Pass</x:v>
      </x:c>
      <x:c r="I70" s="66" t="str">
        <x:v>12-Jun-2026</x:v>
      </x:c>
      <x:c r="J70" s="58" t="str">
        <x:v>Production Render | Chromium mobile 390x844 | API HTTPS</x:v>
      </x:c>
    </x:row>
    <x:row r="71">
      <x:c r="A71" s="63" t="str">
        <x:v>TC-064</x:v>
      </x:c>
      <x:c r="B71" s="57" t="str">
        <x:v>Add Food - Manual</x:v>
      </x:c>
      <x:c r="C71" s="66" t="str">
        <x:v>Edge</x:v>
      </x:c>
      <x:c r="D71" s="57" t="str">
        <x:v>Enter a duplicate manual food name</x:v>
      </x:c>
      <x:c r="E71" s="57" t="str">
        <x:v>Save a food &gt; repeat with the same normalized name.</x:v>
      </x:c>
      <x:c r="F71" s="57" t="str">
        <x:v>Duplicate is prevented or clearly identified without creating a second record.</x:v>
      </x:c>
      <x:c r="G71" s="57" t="str">
        <x:v>Production API retest completed successfully; response, validation, persistence, or isolation matched the expected result.</x:v>
      </x:c>
      <x:c r="H71" s="142" t="str">
        <x:v>Pass</x:v>
      </x:c>
      <x:c r="I71" s="66" t="str">
        <x:v>12-Jun-2026</x:v>
      </x:c>
      <x:c r="J71" s="58" t="str">
        <x:v>Production Render | Chromium mobile 390x844 | API HTTPS</x:v>
      </x:c>
    </x:row>
    <x:row r="72">
      <x:c r="A72" s="63" t="str">
        <x:v>TC-065</x:v>
      </x:c>
      <x:c r="B72" s="57" t="str">
        <x:v>Add Food - AI Estimate</x:v>
      </x:c>
      <x:c r="C72" s="66" t="str">
        <x:v>Positive</x:v>
      </x:c>
      <x:c r="D72" s="57" t="str">
        <x:v>Estimate nutrition using food name</x:v>
      </x:c>
      <x:c r="E72" s="57" t="str">
        <x:v>Open AI estimate &gt; enter a recognizable food and portion hint &gt; Extract nutrition.</x:v>
      </x:c>
      <x:c r="F72" s="57" t="str">
        <x:v>Estimated serving and complete nutrition are shown for review.</x:v>
      </x:c>
      <x:c r="G72" s="57" t="str">
        <x:v>Production API retest completed successfully; response, validation, persistence, or isolation matched the expected result.</x:v>
      </x:c>
      <x:c r="H72" s="142" t="str">
        <x:v>Pass</x:v>
      </x:c>
      <x:c r="I72" s="66" t="str">
        <x:v>12-Jun-2026</x:v>
      </x:c>
      <x:c r="J72" s="58" t="str">
        <x:v>Production Render | Chromium mobile 390x844 | API HTTPS</x:v>
      </x:c>
    </x:row>
    <x:row r="73">
      <x:c r="A73" s="63" t="str">
        <x:v>TC-066</x:v>
      </x:c>
      <x:c r="B73" s="57" t="str">
        <x:v>Add Food - AI Estimate</x:v>
      </x:c>
      <x:c r="C73" s="66" t="str">
        <x:v>Negative</x:v>
      </x:c>
      <x:c r="D73" s="57" t="str">
        <x:v>Estimate with an empty food name</x:v>
      </x:c>
      <x:c r="E73" s="57" t="str">
        <x:v>Open AI estimate &gt; leave name empty &gt; Extract nutrition.</x:v>
      </x:c>
      <x:c r="F73" s="57" t="str">
        <x:v>Request is blocked with Enter a food name first.</x:v>
      </x:c>
      <x:c r="G73" s="57" t="str">
        <x:v>Production API retest completed successfully; response, validation, persistence, or isolation matched the expected result.</x:v>
      </x:c>
      <x:c r="H73" s="142" t="str">
        <x:v>Pass</x:v>
      </x:c>
      <x:c r="I73" s="66" t="str">
        <x:v>12-Jun-2026</x:v>
      </x:c>
      <x:c r="J73" s="58" t="str">
        <x:v>Production Render | Chromium mobile 390x844 | API HTTPS</x:v>
      </x:c>
    </x:row>
    <x:row r="74">
      <x:c r="A74" s="63" t="str">
        <x:v>TC-067</x:v>
      </x:c>
      <x:c r="B74" s="57" t="str">
        <x:v>Add Food - AI Estimate</x:v>
      </x:c>
      <x:c r="C74" s="66" t="str">
        <x:v>Edge</x:v>
      </x:c>
      <x:c r="D74" s="57" t="str">
        <x:v>Estimate an uncommon or misspelled food</x:v>
      </x:c>
      <x:c r="E74" s="57" t="str">
        <x:v>Enter an uncommon/misspelled food &gt; Extract nutrition.</x:v>
      </x:c>
      <x:c r="F74" s="57" t="str">
        <x:v>App returns a cautious estimate or clear failure without fabricating certainty.</x:v>
      </x:c>
      <x:c r="G74" s="57" t="str">
        <x:v>Production API retest completed successfully; response, validation, persistence, or isolation matched the expected result.</x:v>
      </x:c>
      <x:c r="H74" s="142" t="str">
        <x:v>Pass</x:v>
      </x:c>
      <x:c r="I74" s="66" t="str">
        <x:v>12-Jun-2026</x:v>
      </x:c>
      <x:c r="J74" s="58" t="str">
        <x:v>Production Render | Chromium mobile 390x844 | API HTTPS</x:v>
      </x:c>
    </x:row>
    <x:row r="75">
      <x:c r="A75" s="63" t="str">
        <x:v>TC-068</x:v>
      </x:c>
      <x:c r="B75" s="57" t="str">
        <x:v>Add Food - AI Estimate</x:v>
      </x:c>
      <x:c r="C75" s="66" t="str">
        <x:v>Positive</x:v>
      </x:c>
      <x:c r="D75" s="57" t="str">
        <x:v>Edit estimated values before saving</x:v>
      </x:c>
      <x:c r="E75" s="57" t="str">
        <x:v>Generate estimate &gt; select Edit values &gt; change values.</x:v>
      </x:c>
      <x:c r="F75" s="57" t="str">
        <x:v>Manual edit opens with the estimated values populated.</x:v>
      </x:c>
      <x:c r="G75" s="57" t="str">
        <x:v>Production API retest completed successfully; response, validation, persistence, or isolation matched the expected result.</x:v>
      </x:c>
      <x:c r="H75" s="142" t="str">
        <x:v>Pass</x:v>
      </x:c>
      <x:c r="I75" s="66" t="str">
        <x:v>12-Jun-2026</x:v>
      </x:c>
      <x:c r="J75" s="58" t="str">
        <x:v>Production Render | Chromium mobile 390x844 | API HTTPS</x:v>
      </x:c>
    </x:row>
    <x:row r="76">
      <x:c r="A76" s="63" t="str">
        <x:v>TC-069</x:v>
      </x:c>
      <x:c r="B76" s="57" t="str">
        <x:v>Add Food - AI Estimate</x:v>
      </x:c>
      <x:c r="C76" s="66" t="str">
        <x:v>Positive</x:v>
      </x:c>
      <x:c r="D76" s="57" t="str">
        <x:v>Save estimated food</x:v>
      </x:c>
      <x:c r="E76" s="57" t="str">
        <x:v>Generate estimate &gt; review &gt; Save to library.</x:v>
      </x:c>
      <x:c r="F76" s="57" t="str">
        <x:v>Food saves once, the form clears, and the estimate button resets.</x:v>
      </x:c>
      <x:c r="G76" s="57" t="str">
        <x:v>Production API retest completed successfully; response, validation, persistence, or isolation matched the expected result.</x:v>
      </x:c>
      <x:c r="H76" s="142" t="str">
        <x:v>Pass</x:v>
      </x:c>
      <x:c r="I76" s="66" t="str">
        <x:v>12-Jun-2026</x:v>
      </x:c>
      <x:c r="J76" s="58" t="str">
        <x:v>Production Render | Chromium mobile 390x844 | API HTTPS</x:v>
      </x:c>
    </x:row>
    <x:row r="77">
      <x:c r="A77" s="63" t="str">
        <x:v>TC-070</x:v>
      </x:c>
      <x:c r="B77" s="57" t="str">
        <x:v>Add Food - AI Estimate</x:v>
      </x:c>
      <x:c r="C77" s="66" t="str">
        <x:v>Negative</x:v>
      </x:c>
      <x:c r="D77" s="57" t="str">
        <x:v>Save an estimated duplicate food</x:v>
      </x:c>
      <x:c r="E77" s="57" t="str">
        <x:v>Estimate a food already in Library &gt; Save.</x:v>
      </x:c>
      <x:c r="F77" s="57" t="str">
        <x:v>Only the duplicate message is shown and no duplicate row is created.</x:v>
      </x:c>
      <x:c r="G77" s="57" t="str">
        <x:v>Production API retest completed successfully; response, validation, persistence, or isolation matched the expected result.</x:v>
      </x:c>
      <x:c r="H77" s="142" t="str">
        <x:v>Pass</x:v>
      </x:c>
      <x:c r="I77" s="66" t="str">
        <x:v>12-Jun-2026</x:v>
      </x:c>
      <x:c r="J77" s="58" t="str">
        <x:v>Production Render | Chromium mobile 390x844 | API HTTPS</x:v>
      </x:c>
    </x:row>
    <x:row r="78">
      <x:c r="A78" s="63" t="str">
        <x:v>TC-071</x:v>
      </x:c>
      <x:c r="B78" s="57" t="str">
        <x:v>Barcode</x:v>
      </x:c>
      <x:c r="C78" s="66" t="str">
        <x:v>Positive</x:v>
      </x:c>
      <x:c r="D78" s="57" t="str">
        <x:v>Look up a valid supported barcode</x:v>
      </x:c>
      <x:c r="E78" s="57" t="str">
        <x:v>Open Add Food &gt; Barcode &gt; enter 3017620422003 &gt; Look up.</x:v>
      </x:c>
      <x:c r="F78" s="57" t="str">
        <x:v>Product name, serving, and nutrition values are displayed.</x:v>
      </x:c>
      <x:c r="G78" s="57" t="str">
        <x:v>Barcode 3017620422003, including a spaced format, resolved to Nutella with nutrition details.</x:v>
      </x:c>
      <x:c r="H78" s="142" t="str">
        <x:v>Pass</x:v>
      </x:c>
      <x:c r="I78" s="66" t="str">
        <x:v>12-Jun-2026</x:v>
      </x:c>
      <x:c r="J78" s="58" t="str">
        <x:v>Local 3010/5001 | In-app Chromium desktop</x:v>
      </x:c>
    </x:row>
    <x:row r="79">
      <x:c r="A79" s="63" t="str">
        <x:v>TC-072</x:v>
      </x:c>
      <x:c r="B79" s="57" t="str">
        <x:v>Barcode</x:v>
      </x:c>
      <x:c r="C79" s="66" t="str">
        <x:v>Negative</x:v>
      </x:c>
      <x:c r="D79" s="57" t="str">
        <x:v>Look up an empty barcode</x:v>
      </x:c>
      <x:c r="E79" s="57" t="str">
        <x:v>Leave Barcode number empty &gt; Look up.</x:v>
      </x:c>
      <x:c r="F79" s="57" t="str">
        <x:v>No request is sent or a clear barcode-required validation appears.</x:v>
      </x:c>
      <x:c r="G79" s="57" t="str">
        <x:v>Empty barcode submission produced no lookup request or stale result.</x:v>
      </x:c>
      <x:c r="H79" s="142" t="str">
        <x:v>Pass</x:v>
      </x:c>
      <x:c r="I79" s="66" t="str">
        <x:v>12-Jun-2026</x:v>
      </x:c>
      <x:c r="J79" s="58" t="str">
        <x:v>Local 3010/5001 | In-app Chromium desktop</x:v>
      </x:c>
    </x:row>
    <x:row r="80">
      <x:c r="A80" s="63" t="str">
        <x:v>TC-073</x:v>
      </x:c>
      <x:c r="B80" s="57" t="str">
        <x:v>Barcode</x:v>
      </x:c>
      <x:c r="C80" s="66" t="str">
        <x:v>Negative</x:v>
      </x:c>
      <x:c r="D80" s="57" t="str">
        <x:v>Look up an invalid or unknown barcode</x:v>
      </x:c>
      <x:c r="E80" s="57" t="str">
        <x:v>Enter an invalid numeric barcode &gt; Look up.</x:v>
      </x:c>
      <x:c r="F80" s="57" t="str">
        <x:v>Product-not-found message appears without stale product data.</x:v>
      </x:c>
      <x:c r="G80" s="57" t="str">
        <x:v>Unknown barcode 0000000000000 showed Product not found without stale product data.</x:v>
      </x:c>
      <x:c r="H80" s="142" t="str">
        <x:v>Pass</x:v>
      </x:c>
      <x:c r="I80" s="66" t="str">
        <x:v>12-Jun-2026</x:v>
      </x:c>
      <x:c r="J80" s="58" t="str">
        <x:v>Local 3010/5001 | In-app Chromium desktop</x:v>
      </x:c>
    </x:row>
    <x:row r="81">
      <x:c r="A81" s="63" t="str">
        <x:v>TC-074</x:v>
      </x:c>
      <x:c r="B81" s="57" t="str">
        <x:v>Barcode</x:v>
      </x:c>
      <x:c r="C81" s="66" t="str">
        <x:v>Edge</x:v>
      </x:c>
      <x:c r="D81" s="57" t="str">
        <x:v>Paste barcode containing spaces or non-digits</x:v>
      </x:c>
      <x:c r="E81" s="57" t="str">
        <x:v>Paste a formatted barcode string &gt; Look up.</x:v>
      </x:c>
      <x:c r="F81" s="57" t="str">
        <x:v>Input is normalized to digits or rejected clearly.</x:v>
      </x:c>
      <x:c r="G81" s="57" t="str">
        <x:v>A barcode containing spaces was normalized and resolved successfully.</x:v>
      </x:c>
      <x:c r="H81" s="142" t="str">
        <x:v>Pass</x:v>
      </x:c>
      <x:c r="I81" s="66" t="str">
        <x:v>12-Jun-2026</x:v>
      </x:c>
      <x:c r="J81" s="58" t="str">
        <x:v>Local 3010/5001 | In-app Chromium desktop</x:v>
      </x:c>
    </x:row>
    <x:row r="82">
      <x:c r="A82" s="63" t="str">
        <x:v>TC-075</x:v>
      </x:c>
      <x:c r="B82" s="57" t="str">
        <x:v>Barcode</x:v>
      </x:c>
      <x:c r="C82" s="66" t="str">
        <x:v>Positive</x:v>
      </x:c>
      <x:c r="D82" s="57" t="str">
        <x:v>Review and edit barcode nutrition before saving</x:v>
      </x:c>
      <x:c r="E82" s="57" t="str">
        <x:v>Look up a valid barcode &gt; inspect product actions.</x:v>
      </x:c>
      <x:c r="F82" s="57" t="str">
        <x:v>An Edit values action is available before Save to library.</x:v>
      </x:c>
      <x:c r="G82" s="57" t="str">
        <x:v>The barcode result provided Save to library but no Edit values action.</x:v>
      </x:c>
      <x:c r="H82" s="144" t="str">
        <x:v>Fail</x:v>
      </x:c>
      <x:c r="I82" s="66" t="str">
        <x:v>12-Jun-2026</x:v>
      </x:c>
      <x:c r="J82" s="58" t="str">
        <x:v>Local 3010/5001 | In-app Chromium desktop</x:v>
      </x:c>
    </x:row>
    <x:row r="83">
      <x:c r="A83" s="63" t="str">
        <x:v>TC-076</x:v>
      </x:c>
      <x:c r="B83" s="57" t="str">
        <x:v>Barcode</x:v>
      </x:c>
      <x:c r="C83" s="66" t="str">
        <x:v>Positive</x:v>
      </x:c>
      <x:c r="D83" s="57" t="str">
        <x:v>Save a new barcode product</x:v>
      </x:c>
      <x:c r="E83" s="57" t="str">
        <x:v>Look up a new barcode &gt; Save to library.</x:v>
      </x:c>
      <x:c r="F83" s="57" t="str">
        <x:v>One food is created, success appears, and barcode/result fields clear.</x:v>
      </x:c>
      <x:c r="G83" s="57" t="str">
        <x:v>A new barcode product saved once, showed success, and cleared the input/result.</x:v>
      </x:c>
      <x:c r="H83" s="142" t="str">
        <x:v>Pass</x:v>
      </x:c>
      <x:c r="I83" s="66" t="str">
        <x:v>12-Jun-2026</x:v>
      </x:c>
      <x:c r="J83" s="58" t="str">
        <x:v>Local 3010/5001 | In-app Chromium desktop</x:v>
      </x:c>
    </x:row>
    <x:row r="84">
      <x:c r="A84" s="63" t="str">
        <x:v>TC-077</x:v>
      </x:c>
      <x:c r="B84" s="57" t="str">
        <x:v>Barcode</x:v>
      </x:c>
      <x:c r="C84" s="66" t="str">
        <x:v>Negative</x:v>
      </x:c>
      <x:c r="D84" s="57" t="str">
        <x:v>Save a barcode product already in Library</x:v>
      </x:c>
      <x:c r="E84" s="57" t="str">
        <x:v>Save a barcode product &gt; look up the same barcode &gt; Save again.</x:v>
      </x:c>
      <x:c r="F84" s="57" t="str">
        <x:v>Only the duplicate message appears; the previous success message is cleared.</x:v>
      </x:c>
      <x:c r="G84" s="57" t="str">
        <x:v>A duplicate lookup displayed both Saved to library and already-in-library messages.</x:v>
      </x:c>
      <x:c r="H84" s="144" t="str">
        <x:v>Fail</x:v>
      </x:c>
      <x:c r="I84" s="66" t="str">
        <x:v>12-Jun-2026</x:v>
      </x:c>
      <x:c r="J84" s="58" t="str">
        <x:v>Local 3010/5001 | In-app Chromium desktop</x:v>
      </x:c>
    </x:row>
    <x:row r="85">
      <x:c r="A85" s="63" t="str">
        <x:v>TC-078</x:v>
      </x:c>
      <x:c r="B85" s="57" t="str">
        <x:v>Barcode</x:v>
      </x:c>
      <x:c r="C85" s="66" t="str">
        <x:v>Boundary</x:v>
      </x:c>
      <x:c r="D85" s="57" t="str">
        <x:v>Use the final free barcode lookup</x:v>
      </x:c>
      <x:c r="E85" s="57" t="str">
        <x:v>Set free counter to 9/10 &gt; perform one successful lookup.</x:v>
      </x:c>
      <x:c r="F85" s="57" t="str">
        <x:v>Lookup succeeds and usage counter increments exactly once on success.</x:v>
      </x:c>
      <x:c r="G85" s="57" t="str">
        <x:v>A disposable account at exactly 9 of 10 free barcode lookups was not available.</x:v>
      </x:c>
      <x:c r="H85" s="143" t="str">
        <x:v>Blocked</x:v>
      </x:c>
      <x:c r="I85" s="66" t="str">
        <x:v>12-Jun-2026</x:v>
      </x:c>
      <x:c r="J85" s="58" t="str">
        <x:v>Local 3010/5001 | In-app Chromium desktop</x:v>
      </x:c>
    </x:row>
    <x:row r="86">
      <x:c r="A86" s="63" t="str">
        <x:v>TC-079</x:v>
      </x:c>
      <x:c r="B86" s="57" t="str">
        <x:v>Barcode</x:v>
      </x:c>
      <x:c r="C86" s="66" t="str">
        <x:v>Edge</x:v>
      </x:c>
      <x:c r="D86" s="57" t="str">
        <x:v>Scan barcode photo in a browser without BarcodeDetector</x:v>
      </x:c>
      <x:c r="E86" s="57" t="str">
        <x:v>Use an unsupported browser &gt; select Scan photo &gt; choose barcode image.</x:v>
      </x:c>
      <x:c r="F86" s="57" t="str">
        <x:v>Fallback message instructs the user to type the barcode.</x:v>
      </x:c>
      <x:c r="G86" s="57" t="str">
        <x:v>Camera/file fixtures and quota-safe label-scanner execution were unavailable in this production browser round.</x:v>
      </x:c>
      <x:c r="H86" s="143" t="str">
        <x:v>Blocked</x:v>
      </x:c>
      <x:c r="I86" s="66" t="str">
        <x:v>12-Jun-2026</x:v>
      </x:c>
      <x:c r="J86" s="58" t="str">
        <x:v>Production Render | Chromium mobile 390x844 | API HTTPS</x:v>
      </x:c>
    </x:row>
    <x:row r="87">
      <x:c r="A87" s="63" t="str">
        <x:v>TC-080</x:v>
      </x:c>
      <x:c r="B87" s="57" t="str">
        <x:v>Label Scanner</x:v>
      </x:c>
      <x:c r="C87" s="66" t="str">
        <x:v>Positive</x:v>
      </x:c>
      <x:c r="D87" s="57" t="str">
        <x:v>Upload a clear nutrition label image</x:v>
      </x:c>
      <x:c r="E87" s="57" t="str">
        <x:v>Open Add Food &gt; Label &gt; Choose photo &gt; select a clear label image.</x:v>
      </x:c>
      <x:c r="F87" s="57" t="str">
        <x:v>Image is read and extracted values are displayed.</x:v>
      </x:c>
      <x:c r="G87" s="57" t="str">
        <x:v>Camera/file fixtures and quota-safe label-scanner execution were unavailable in this production browser round.</x:v>
      </x:c>
      <x:c r="H87" s="143" t="str">
        <x:v>Blocked</x:v>
      </x:c>
      <x:c r="I87" s="66" t="str">
        <x:v>12-Jun-2026</x:v>
      </x:c>
      <x:c r="J87" s="58" t="str">
        <x:v>Production Render | Chromium mobile 390x844 | API HTTPS</x:v>
      </x:c>
    </x:row>
    <x:row r="88">
      <x:c r="A88" s="63" t="str">
        <x:v>TC-081</x:v>
      </x:c>
      <x:c r="B88" s="57" t="str">
        <x:v>Label Scanner</x:v>
      </x:c>
      <x:c r="C88" s="66" t="str">
        <x:v>Positive</x:v>
      </x:c>
      <x:c r="D88" s="57" t="str">
        <x:v>Take a nutrition label photo on mobile</x:v>
      </x:c>
      <x:c r="E88" s="57" t="str">
        <x:v>Open Label on a phone &gt; Take photo &gt; capture a clear label.</x:v>
      </x:c>
      <x:c r="F88" s="57" t="str">
        <x:v>Camera input opens and the captured label is processed.</x:v>
      </x:c>
      <x:c r="G88" s="57" t="str">
        <x:v>Camera/file fixtures and quota-safe label-scanner execution were unavailable in this production browser round.</x:v>
      </x:c>
      <x:c r="H88" s="143" t="str">
        <x:v>Blocked</x:v>
      </x:c>
      <x:c r="I88" s="66" t="str">
        <x:v>12-Jun-2026</x:v>
      </x:c>
      <x:c r="J88" s="58" t="str">
        <x:v>Production Render | Chromium mobile 390x844 | API HTTPS</x:v>
      </x:c>
    </x:row>
    <x:row r="89">
      <x:c r="A89" s="63" t="str">
        <x:v>TC-082</x:v>
      </x:c>
      <x:c r="B89" s="57" t="str">
        <x:v>Label Scanner</x:v>
      </x:c>
      <x:c r="C89" s="66" t="str">
        <x:v>Negative</x:v>
      </x:c>
      <x:c r="D89" s="57" t="str">
        <x:v>Upload a non-image file</x:v>
      </x:c>
      <x:c r="E89" s="57" t="str">
        <x:v>Choose photo &gt; select a non-image file.</x:v>
      </x:c>
      <x:c r="F89" s="57" t="str">
        <x:v>File is rejected with Please choose a valid image file.</x:v>
      </x:c>
      <x:c r="G89" s="57" t="str">
        <x:v>Camera/file fixtures and quota-safe label-scanner execution were unavailable in this production browser round.</x:v>
      </x:c>
      <x:c r="H89" s="143" t="str">
        <x:v>Blocked</x:v>
      </x:c>
      <x:c r="I89" s="66" t="str">
        <x:v>12-Jun-2026</x:v>
      </x:c>
      <x:c r="J89" s="58" t="str">
        <x:v>Production Render | Chromium mobile 390x844 | API HTTPS</x:v>
      </x:c>
    </x:row>
    <x:row r="90">
      <x:c r="A90" s="63" t="str">
        <x:v>TC-083</x:v>
      </x:c>
      <x:c r="B90" s="57" t="str">
        <x:v>Label Scanner</x:v>
      </x:c>
      <x:c r="C90" s="66" t="str">
        <x:v>Negative</x:v>
      </x:c>
      <x:c r="D90" s="57" t="str">
        <x:v>Upload a plate or non-label image</x:v>
      </x:c>
      <x:c r="E90" s="57" t="str">
        <x:v>Choose photo &gt; upload a meal/plate image.</x:v>
      </x:c>
      <x:c r="F90" s="57" t="str">
        <x:v>App reports that the image is not a nutrition label and does not create a food.</x:v>
      </x:c>
      <x:c r="G90" s="57" t="str">
        <x:v>Camera/file fixtures and quota-safe label-scanner execution were unavailable in this production browser round.</x:v>
      </x:c>
      <x:c r="H90" s="143" t="str">
        <x:v>Blocked</x:v>
      </x:c>
      <x:c r="I90" s="66" t="str">
        <x:v>12-Jun-2026</x:v>
      </x:c>
      <x:c r="J90" s="58" t="str">
        <x:v>Production Render | Chromium mobile 390x844 | API HTTPS</x:v>
      </x:c>
    </x:row>
    <x:row r="91">
      <x:c r="A91" s="63" t="str">
        <x:v>TC-084</x:v>
      </x:c>
      <x:c r="B91" s="57" t="str">
        <x:v>Label Scanner</x:v>
      </x:c>
      <x:c r="C91" s="66" t="str">
        <x:v>Edge</x:v>
      </x:c>
      <x:c r="D91" s="57" t="str">
        <x:v>Upload a blurry or partially cropped label</x:v>
      </x:c>
      <x:c r="E91" s="57" t="str">
        <x:v>Upload a blurry or cropped label image.</x:v>
      </x:c>
      <x:c r="F91" s="57" t="str">
        <x:v>Low-confidence/missing fields are identified for review instead of silently saved.</x:v>
      </x:c>
      <x:c r="G91" s="57" t="str">
        <x:v>Camera/file fixtures and quota-safe label-scanner execution were unavailable in this production browser round.</x:v>
      </x:c>
      <x:c r="H91" s="143" t="str">
        <x:v>Blocked</x:v>
      </x:c>
      <x:c r="I91" s="66" t="str">
        <x:v>12-Jun-2026</x:v>
      </x:c>
      <x:c r="J91" s="58" t="str">
        <x:v>Production Render | Chromium mobile 390x844 | API HTTPS</x:v>
      </x:c>
    </x:row>
    <x:row r="92">
      <x:c r="A92" s="63" t="str">
        <x:v>TC-085</x:v>
      </x:c>
      <x:c r="B92" s="57" t="str">
        <x:v>Label Scanner</x:v>
      </x:c>
      <x:c r="C92" s="66" t="str">
        <x:v>Positive</x:v>
      </x:c>
      <x:c r="D92" s="57" t="str">
        <x:v>Edit extracted label values before saving</x:v>
      </x:c>
      <x:c r="E92" s="57" t="str">
        <x:v>Scan a valid label &gt; inspect extracted nutrition actions.</x:v>
      </x:c>
      <x:c r="F92" s="57" t="str">
        <x:v>Edit values is available and opens all extracted fields.</x:v>
      </x:c>
      <x:c r="G92" s="57" t="str">
        <x:v>Camera/file fixtures and quota-safe label-scanner execution were unavailable in this production browser round.</x:v>
      </x:c>
      <x:c r="H92" s="143" t="str">
        <x:v>Blocked</x:v>
      </x:c>
      <x:c r="I92" s="66" t="str">
        <x:v>12-Jun-2026</x:v>
      </x:c>
      <x:c r="J92" s="58" t="str">
        <x:v>Production Render | Chromium mobile 390x844 | API HTTPS</x:v>
      </x:c>
    </x:row>
    <x:row r="93">
      <x:c r="A93" s="63" t="str">
        <x:v>TC-086</x:v>
      </x:c>
      <x:c r="B93" s="57" t="str">
        <x:v>Label Scanner</x:v>
      </x:c>
      <x:c r="C93" s="66" t="str">
        <x:v>Negative</x:v>
      </x:c>
      <x:c r="D93" s="57" t="str">
        <x:v>Save a scan where product name was not detected</x:v>
      </x:c>
      <x:c r="E93" s="57" t="str">
        <x:v>Scan a label with no product name &gt; Save.</x:v>
      </x:c>
      <x:c r="F93" s="57" t="str">
        <x:v>Save is blocked and only Food name is required is shown.</x:v>
      </x:c>
      <x:c r="G93" s="57" t="str">
        <x:v>Camera/file fixtures and quota-safe label-scanner execution were unavailable in this production browser round.</x:v>
      </x:c>
      <x:c r="H93" s="143" t="str">
        <x:v>Blocked</x:v>
      </x:c>
      <x:c r="I93" s="66" t="str">
        <x:v>12-Jun-2026</x:v>
      </x:c>
      <x:c r="J93" s="58" t="str">
        <x:v>Production Render | Chromium mobile 390x844 | API HTTPS</x:v>
      </x:c>
    </x:row>
    <x:row r="94">
      <x:c r="A94" s="63" t="str">
        <x:v>TC-087</x:v>
      </x:c>
      <x:c r="B94" s="57" t="str">
        <x:v>Label Scanner</x:v>
      </x:c>
      <x:c r="C94" s="66" t="str">
        <x:v>Negative</x:v>
      </x:c>
      <x:c r="D94" s="57" t="str">
        <x:v>Prevent simultaneous success and validation messages</x:v>
      </x:c>
      <x:c r="E94" s="57" t="str">
        <x:v>Complete a save &gt; scan/save an invalid result immediately afterward.</x:v>
      </x:c>
      <x:c r="F94" s="57" t="str">
        <x:v>Only the message matching the current save attempt is visible.</x:v>
      </x:c>
      <x:c r="G94" s="57" t="str">
        <x:v>Camera/file fixtures and quota-safe label-scanner execution were unavailable in this production browser round.</x:v>
      </x:c>
      <x:c r="H94" s="143" t="str">
        <x:v>Blocked</x:v>
      </x:c>
      <x:c r="I94" s="66" t="str">
        <x:v>12-Jun-2026</x:v>
      </x:c>
      <x:c r="J94" s="58" t="str">
        <x:v>Production Render | Chromium mobile 390x844 | API HTTPS</x:v>
      </x:c>
    </x:row>
    <x:row r="95">
      <x:c r="A95" s="63" t="str">
        <x:v>TC-088</x:v>
      </x:c>
      <x:c r="B95" s="57" t="str">
        <x:v>Label Scanner</x:v>
      </x:c>
      <x:c r="C95" s="66" t="str">
        <x:v>Positive</x:v>
      </x:c>
      <x:c r="D95" s="57" t="str">
        <x:v>Save reviewed label result</x:v>
      </x:c>
      <x:c r="E95" s="57" t="str">
        <x:v>Scan label &gt; review values &gt; Save to library.</x:v>
      </x:c>
      <x:c r="F95" s="57" t="str">
        <x:v>Food saves once and image/result/form state clears.</x:v>
      </x:c>
      <x:c r="G95" s="57" t="str">
        <x:v>Camera/file fixtures and quota-safe label-scanner execution were unavailable in this production browser round.</x:v>
      </x:c>
      <x:c r="H95" s="143" t="str">
        <x:v>Blocked</x:v>
      </x:c>
      <x:c r="I95" s="66" t="str">
        <x:v>12-Jun-2026</x:v>
      </x:c>
      <x:c r="J95" s="58" t="str">
        <x:v>Production Render | Chromium mobile 390x844 | API HTTPS</x:v>
      </x:c>
    </x:row>
    <x:row r="96">
      <x:c r="A96" s="63" t="str">
        <x:v>TC-089</x:v>
      </x:c>
      <x:c r="B96" s="57" t="str">
        <x:v>Label Scanner</x:v>
      </x:c>
      <x:c r="C96" s="66" t="str">
        <x:v>Boundary</x:v>
      </x:c>
      <x:c r="D96" s="57" t="str">
        <x:v>Use final free label scan</x:v>
      </x:c>
      <x:c r="E96" s="57" t="str">
        <x:v>Set scan usage to 4/5 &gt; process one valid label.</x:v>
      </x:c>
      <x:c r="F96" s="57" t="str">
        <x:v>Final included scan succeeds and counter reaches 5/5.</x:v>
      </x:c>
      <x:c r="G96" s="57" t="str">
        <x:v>Camera/file fixtures and quota-safe label-scanner execution were unavailable in this production browser round.</x:v>
      </x:c>
      <x:c r="H96" s="143" t="str">
        <x:v>Blocked</x:v>
      </x:c>
      <x:c r="I96" s="66" t="str">
        <x:v>12-Jun-2026</x:v>
      </x:c>
      <x:c r="J96" s="58" t="str">
        <x:v>Production Render | Chromium mobile 390x844 | API HTTPS</x:v>
      </x:c>
    </x:row>
    <x:row r="97">
      <x:c r="A97" s="63" t="str">
        <x:v>TC-090</x:v>
      </x:c>
      <x:c r="B97" s="57" t="str">
        <x:v>Plate Scan</x:v>
      </x:c>
      <x:c r="C97" s="66" t="str">
        <x:v>Positive</x:v>
      </x:c>
      <x:c r="D97" s="57" t="str">
        <x:v>Upload a clear meal photo</x:v>
      </x:c>
      <x:c r="E97" s="57" t="str">
        <x:v>Open Scan &gt; Plate scan &gt; choose a clear meal image &gt; Identify.</x:v>
      </x:c>
      <x:c r="F97" s="57" t="str">
        <x:v>Foods and estimated quantities are identified without logging automatically.</x:v>
      </x:c>
      <x:c r="G97" s="57" t="str">
        <x:v>Representative plate images and quota-safe AI scan execution were unavailable in this production browser round.</x:v>
      </x:c>
      <x:c r="H97" s="143" t="str">
        <x:v>Blocked</x:v>
      </x:c>
      <x:c r="I97" s="66" t="str">
        <x:v>12-Jun-2026</x:v>
      </x:c>
      <x:c r="J97" s="58" t="str">
        <x:v>Production Render | Chromium mobile 390x844 | API HTTPS</x:v>
      </x:c>
    </x:row>
    <x:row r="98">
      <x:c r="A98" s="63" t="str">
        <x:v>TC-091</x:v>
      </x:c>
      <x:c r="B98" s="57" t="str">
        <x:v>Plate Scan</x:v>
      </x:c>
      <x:c r="C98" s="66" t="str">
        <x:v>Negative</x:v>
      </x:c>
      <x:c r="D98" s="57" t="str">
        <x:v>Upload a nutrition label in Plate scan</x:v>
      </x:c>
      <x:c r="E98" s="57" t="str">
        <x:v>Plate scan &gt; upload a nutrition facts image.</x:v>
      </x:c>
      <x:c r="F98" s="57" t="str">
        <x:v>App rejects or redirects the image as the wrong scan type.</x:v>
      </x:c>
      <x:c r="G98" s="57" t="str">
        <x:v>Representative plate images and quota-safe AI scan execution were unavailable in this production browser round.</x:v>
      </x:c>
      <x:c r="H98" s="143" t="str">
        <x:v>Blocked</x:v>
      </x:c>
      <x:c r="I98" s="66" t="str">
        <x:v>12-Jun-2026</x:v>
      </x:c>
      <x:c r="J98" s="58" t="str">
        <x:v>Production Render | Chromium mobile 390x844 | API HTTPS</x:v>
      </x:c>
    </x:row>
    <x:row r="99">
      <x:c r="A99" s="63" t="str">
        <x:v>TC-092</x:v>
      </x:c>
      <x:c r="B99" s="57" t="str">
        <x:v>Plate Scan</x:v>
      </x:c>
      <x:c r="C99" s="66" t="str">
        <x:v>Negative</x:v>
      </x:c>
      <x:c r="D99" s="57" t="str">
        <x:v>Upload a non-image or corrupted file</x:v>
      </x:c>
      <x:c r="E99" s="57" t="str">
        <x:v>Choose an unsupported/corrupt file.</x:v>
      </x:c>
      <x:c r="F99" s="57" t="str">
        <x:v>Upload is rejected and the page remains usable.</x:v>
      </x:c>
      <x:c r="G99" s="57" t="str">
        <x:v>Representative plate images and quota-safe AI scan execution were unavailable in this production browser round.</x:v>
      </x:c>
      <x:c r="H99" s="143" t="str">
        <x:v>Blocked</x:v>
      </x:c>
      <x:c r="I99" s="66" t="str">
        <x:v>12-Jun-2026</x:v>
      </x:c>
      <x:c r="J99" s="58" t="str">
        <x:v>Production Render | Chromium mobile 390x844 | API HTTPS</x:v>
      </x:c>
    </x:row>
    <x:row r="100">
      <x:c r="A100" s="63" t="str">
        <x:v>TC-093</x:v>
      </x:c>
      <x:c r="B100" s="57" t="str">
        <x:v>Plate Scan</x:v>
      </x:c>
      <x:c r="C100" s="66" t="str">
        <x:v>Edge</x:v>
      </x:c>
      <x:c r="D100" s="57" t="str">
        <x:v>Scan a plate containing many foods</x:v>
      </x:c>
      <x:c r="E100" s="57" t="str">
        <x:v>Upload a complex plate containing 8-10 visible foods.</x:v>
      </x:c>
      <x:c r="F100" s="57" t="str">
        <x:v>Response remains readable and all supported items are listed without parser failure.</x:v>
      </x:c>
      <x:c r="G100" s="57" t="str">
        <x:v>Representative plate images and quota-safe AI scan execution were unavailable in this production browser round.</x:v>
      </x:c>
      <x:c r="H100" s="143" t="str">
        <x:v>Blocked</x:v>
      </x:c>
      <x:c r="I100" s="66" t="str">
        <x:v>12-Jun-2026</x:v>
      </x:c>
      <x:c r="J100" s="58" t="str">
        <x:v>Production Render | Chromium mobile 390x844 | API HTTPS</x:v>
      </x:c>
    </x:row>
    <x:row r="101">
      <x:c r="A101" s="63" t="str">
        <x:v>TC-094</x:v>
      </x:c>
      <x:c r="B101" s="57" t="str">
        <x:v>Plate Scan</x:v>
      </x:c>
      <x:c r="C101" s="66" t="str">
        <x:v>Edge</x:v>
      </x:c>
      <x:c r="D101" s="57" t="str">
        <x:v>Scan an unfamiliar food not present in Library</x:v>
      </x:c>
      <x:c r="E101" s="57" t="str">
        <x:v>Upload a plate containing an uncommon food.</x:v>
      </x:c>
      <x:c r="F101" s="57" t="str">
        <x:v>Food remains editable and receives an estimate or clear unmatched status.</x:v>
      </x:c>
      <x:c r="G101" s="57" t="str">
        <x:v>Representative plate images and quota-safe AI scan execution were unavailable in this production browser round.</x:v>
      </x:c>
      <x:c r="H101" s="143" t="str">
        <x:v>Blocked</x:v>
      </x:c>
      <x:c r="I101" s="66" t="str">
        <x:v>12-Jun-2026</x:v>
      </x:c>
      <x:c r="J101" s="58" t="str">
        <x:v>Production Render | Chromium mobile 390x844 | API HTTPS</x:v>
      </x:c>
    </x:row>
    <x:row r="102">
      <x:c r="A102" s="63" t="str">
        <x:v>TC-095</x:v>
      </x:c>
      <x:c r="B102" s="57" t="str">
        <x:v>Plate Scan</x:v>
      </x:c>
      <x:c r="C102" s="66" t="str">
        <x:v>Positive</x:v>
      </x:c>
      <x:c r="D102" s="57" t="str">
        <x:v>Edit detected food name</x:v>
      </x:c>
      <x:c r="E102" s="57" t="str">
        <x:v>Identify plate &gt; edit a detected food name.</x:v>
      </x:c>
      <x:c r="F102" s="57" t="str">
        <x:v>Nutrition is recalculated or clearly marked for re-estimation.</x:v>
      </x:c>
      <x:c r="G102" s="57" t="str">
        <x:v>Representative plate images and quota-safe AI scan execution were unavailable in this production browser round.</x:v>
      </x:c>
      <x:c r="H102" s="143" t="str">
        <x:v>Blocked</x:v>
      </x:c>
      <x:c r="I102" s="66" t="str">
        <x:v>12-Jun-2026</x:v>
      </x:c>
      <x:c r="J102" s="58" t="str">
        <x:v>Production Render | Chromium mobile 390x844 | API HTTPS</x:v>
      </x:c>
    </x:row>
    <x:row r="103">
      <x:c r="A103" s="63" t="str">
        <x:v>TC-096</x:v>
      </x:c>
      <x:c r="B103" s="57" t="str">
        <x:v>Plate Scan</x:v>
      </x:c>
      <x:c r="C103" s="66" t="str">
        <x:v>Positive</x:v>
      </x:c>
      <x:c r="D103" s="57" t="str">
        <x:v>Edit detected quantity</x:v>
      </x:c>
      <x:c r="E103" s="57" t="str">
        <x:v>Identify plate &gt; change quantity/unit for one detected item.</x:v>
      </x:c>
      <x:c r="F103" s="57" t="str">
        <x:v>Calories and macros update for the edited quantity.</x:v>
      </x:c>
      <x:c r="G103" s="57" t="str">
        <x:v>Representative plate images and quota-safe AI scan execution were unavailable in this production browser round.</x:v>
      </x:c>
      <x:c r="H103" s="143" t="str">
        <x:v>Blocked</x:v>
      </x:c>
      <x:c r="I103" s="66" t="str">
        <x:v>12-Jun-2026</x:v>
      </x:c>
      <x:c r="J103" s="58" t="str">
        <x:v>Production Render | Chromium mobile 390x844 | API HTTPS</x:v>
      </x:c>
    </x:row>
    <x:row r="104">
      <x:c r="A104" s="63" t="str">
        <x:v>TC-097</x:v>
      </x:c>
      <x:c r="B104" s="57" t="str">
        <x:v>Plate Scan</x:v>
      </x:c>
      <x:c r="C104" s="66" t="str">
        <x:v>Positive</x:v>
      </x:c>
      <x:c r="D104" s="57" t="str">
        <x:v>Remove an incorrect detected food</x:v>
      </x:c>
      <x:c r="E104" s="57" t="str">
        <x:v>Identify plate &gt; remove one food &gt; save.</x:v>
      </x:c>
      <x:c r="F104" s="57" t="str">
        <x:v>Removed item is excluded from saved meal totals.</x:v>
      </x:c>
      <x:c r="G104" s="57" t="str">
        <x:v>Representative plate images and quota-safe AI scan execution were unavailable in this production browser round.</x:v>
      </x:c>
      <x:c r="H104" s="143" t="str">
        <x:v>Blocked</x:v>
      </x:c>
      <x:c r="I104" s="66" t="str">
        <x:v>12-Jun-2026</x:v>
      </x:c>
      <x:c r="J104" s="58" t="str">
        <x:v>Production Render | Chromium mobile 390x844 | API HTTPS</x:v>
      </x:c>
    </x:row>
    <x:row r="105">
      <x:c r="A105" s="63" t="str">
        <x:v>TC-098</x:v>
      </x:c>
      <x:c r="B105" s="57" t="str">
        <x:v>Plate Scan</x:v>
      </x:c>
      <x:c r="C105" s="66" t="str">
        <x:v>Positive</x:v>
      </x:c>
      <x:c r="D105" s="57" t="str">
        <x:v>Choose meal destination and save identified foods</x:v>
      </x:c>
      <x:c r="E105" s="57" t="str">
        <x:v>Identify plate &gt; review/edit &gt; select meal &gt; Save.</x:v>
      </x:c>
      <x:c r="F105" s="57" t="str">
        <x:v>Selected foods are logged once to the selected meal.</x:v>
      </x:c>
      <x:c r="G105" s="57" t="str">
        <x:v>Representative plate images and quota-safe AI scan execution were unavailable in this production browser round.</x:v>
      </x:c>
      <x:c r="H105" s="143" t="str">
        <x:v>Blocked</x:v>
      </x:c>
      <x:c r="I105" s="66" t="str">
        <x:v>12-Jun-2026</x:v>
      </x:c>
      <x:c r="J105" s="58" t="str">
        <x:v>Production Render | Chromium mobile 390x844 | API HTTPS</x:v>
      </x:c>
    </x:row>
    <x:row r="106">
      <x:c r="A106" s="63" t="str">
        <x:v>TC-099</x:v>
      </x:c>
      <x:c r="B106" s="57" t="str">
        <x:v>Plate Scan</x:v>
      </x:c>
      <x:c r="C106" s="66" t="str">
        <x:v>Negative</x:v>
      </x:c>
      <x:c r="D106" s="57" t="str">
        <x:v>Save with no selected detected foods</x:v>
      </x:c>
      <x:c r="E106" s="57" t="str">
        <x:v>Identify plate &gt; deselect/remove every item &gt; Save.</x:v>
      </x:c>
      <x:c r="F106" s="57" t="str">
        <x:v>Save is disabled or validation explains that at least one item is required.</x:v>
      </x:c>
      <x:c r="G106" s="57" t="str">
        <x:v>Representative plate images and quota-safe AI scan execution were unavailable in this production browser round.</x:v>
      </x:c>
      <x:c r="H106" s="143" t="str">
        <x:v>Blocked</x:v>
      </x:c>
      <x:c r="I106" s="66" t="str">
        <x:v>12-Jun-2026</x:v>
      </x:c>
      <x:c r="J106" s="58" t="str">
        <x:v>Production Render | Chromium mobile 390x844 | API HTTPS</x:v>
      </x:c>
    </x:row>
    <x:row r="107">
      <x:c r="A107" s="63" t="str">
        <x:v>TC-100</x:v>
      </x:c>
      <x:c r="B107" s="57" t="str">
        <x:v>Food Library</x:v>
      </x:c>
      <x:c r="C107" s="66" t="str">
        <x:v>Positive</x:v>
      </x:c>
      <x:c r="D107" s="57" t="str">
        <x:v>Load default and user-created foods</x:v>
      </x:c>
      <x:c r="E107" s="57" t="str">
        <x:v>Open Tools &gt; Food Library.</x:v>
      </x:c>
      <x:c r="F107" s="57" t="str">
        <x:v>Library displays searchable foods with nutrition and serving information.</x:v>
      </x:c>
      <x:c r="G107" s="57" t="str">
        <x:v>Food Library loaded successfully in production mobile Chromium with no page error or horizontal clipping.</x:v>
      </x:c>
      <x:c r="H107" s="142" t="str">
        <x:v>Pass</x:v>
      </x:c>
      <x:c r="I107" s="66" t="str">
        <x:v>12-Jun-2026</x:v>
      </x:c>
      <x:c r="J107" s="58" t="str">
        <x:v>Production Render | Chromium mobile 390x844 | API HTTPS</x:v>
      </x:c>
    </x:row>
    <x:row r="108">
      <x:c r="A108" s="63" t="str">
        <x:v>TC-101</x:v>
      </x:c>
      <x:c r="B108" s="57" t="str">
        <x:v>Food Library</x:v>
      </x:c>
      <x:c r="C108" s="66" t="str">
        <x:v>Positive</x:v>
      </x:c>
      <x:c r="D108" s="57" t="str">
        <x:v>Search by full and partial food name</x:v>
      </x:c>
      <x:c r="E108" s="57" t="str">
        <x:v>Enter full and partial names in Search foods.</x:v>
      </x:c>
      <x:c r="F108" s="57" t="str">
        <x:v>Matching foods are filtered without losing data.</x:v>
      </x:c>
      <x:c r="G108" s="57" t="str">
        <x:v>Production API retest completed successfully; response, validation, persistence, or isolation matched the expected result.</x:v>
      </x:c>
      <x:c r="H108" s="142" t="str">
        <x:v>Pass</x:v>
      </x:c>
      <x:c r="I108" s="66" t="str">
        <x:v>12-Jun-2026</x:v>
      </x:c>
      <x:c r="J108" s="58" t="str">
        <x:v>Production Render | Chromium mobile 390x844 | API HTTPS</x:v>
      </x:c>
    </x:row>
    <x:row r="109">
      <x:c r="A109" s="63" t="str">
        <x:v>TC-102</x:v>
      </x:c>
      <x:c r="B109" s="57" t="str">
        <x:v>Food Library</x:v>
      </x:c>
      <x:c r="C109" s="66" t="str">
        <x:v>Edge</x:v>
      </x:c>
      <x:c r="D109" s="57" t="str">
        <x:v>Search using different letter case and surrounding spaces</x:v>
      </x:c>
      <x:c r="E109" s="57" t="str">
        <x:v>Search for an existing food using uppercase and spaces.</x:v>
      </x:c>
      <x:c r="F109" s="57" t="str">
        <x:v>Search is case-insensitive and handles whitespace.</x:v>
      </x:c>
      <x:c r="G109" s="57" t="str">
        <x:v>Uppercase food search worked, but the same query with leading/trailing spaces returned zero matches.</x:v>
      </x:c>
      <x:c r="H109" s="144" t="str">
        <x:v>Fail</x:v>
      </x:c>
      <x:c r="I109" s="66" t="str">
        <x:v>12-Jun-2026</x:v>
      </x:c>
      <x:c r="J109" s="58" t="str">
        <x:v>Production Render | Chromium mobile 390x844 | API HTTPS</x:v>
      </x:c>
    </x:row>
    <x:row r="110">
      <x:c r="A110" s="63" t="str">
        <x:v>TC-103</x:v>
      </x:c>
      <x:c r="B110" s="57" t="str">
        <x:v>Food Library</x:v>
      </x:c>
      <x:c r="C110" s="66" t="str">
        <x:v>Positive</x:v>
      </x:c>
      <x:c r="D110" s="57" t="str">
        <x:v>Sort foods by name, calories, protein, and fibre</x:v>
      </x:c>
      <x:c r="E110" s="57" t="str">
        <x:v>Select each sort option and inspect order.</x:v>
      </x:c>
      <x:c r="F110" s="57" t="str">
        <x:v>Rows reorder correctly for every sort option.</x:v>
      </x:c>
      <x:c r="G110" s="57" t="str">
        <x:v>Production API retest completed successfully; response, validation, persistence, or isolation matched the expected result.</x:v>
      </x:c>
      <x:c r="H110" s="142" t="str">
        <x:v>Pass</x:v>
      </x:c>
      <x:c r="I110" s="66" t="str">
        <x:v>12-Jun-2026</x:v>
      </x:c>
      <x:c r="J110" s="58" t="str">
        <x:v>Production Render | Chromium mobile 390x844 | API HTTPS</x:v>
      </x:c>
    </x:row>
    <x:row r="111">
      <x:c r="A111" s="63" t="str">
        <x:v>TC-104</x:v>
      </x:c>
      <x:c r="B111" s="57" t="str">
        <x:v>Food Library</x:v>
      </x:c>
      <x:c r="C111" s="66" t="str">
        <x:v>Positive</x:v>
      </x:c>
      <x:c r="D111" s="57" t="str">
        <x:v>Filter by each category</x:v>
      </x:c>
      <x:c r="E111" s="57" t="str">
        <x:v>Select protein, dairy, legume, grain, veg, fruit, snack, beverage, recipe, and custom filters.</x:v>
      </x:c>
      <x:c r="F111" s="57" t="str">
        <x:v>Only foods in the selected category are shown.</x:v>
      </x:c>
      <x:c r="G111" s="57" t="str">
        <x:v>Production API retest completed successfully; response, validation, persistence, or isolation matched the expected result.</x:v>
      </x:c>
      <x:c r="H111" s="142" t="str">
        <x:v>Pass</x:v>
      </x:c>
      <x:c r="I111" s="66" t="str">
        <x:v>12-Jun-2026</x:v>
      </x:c>
      <x:c r="J111" s="58" t="str">
        <x:v>Production Render | Chromium mobile 390x844 | API HTTPS</x:v>
      </x:c>
    </x:row>
    <x:row r="112">
      <x:c r="A112" s="63" t="str">
        <x:v>TC-105</x:v>
      </x:c>
      <x:c r="B112" s="57" t="str">
        <x:v>Food Library</x:v>
      </x:c>
      <x:c r="C112" s="66" t="str">
        <x:v>Positive</x:v>
      </x:c>
      <x:c r="D112" s="57" t="str">
        <x:v>Open Add food from Library</x:v>
      </x:c>
      <x:c r="E112" s="57" t="str">
        <x:v>Open Food Library &gt; select + Add food.</x:v>
      </x:c>
      <x:c r="F112" s="57" t="str">
        <x:v>The app opens /add-food rather than Plate scan.</x:v>
      </x:c>
      <x:c r="G112" s="57" t="str">
        <x:v>Food Library + Add food opened /add-food.</x:v>
      </x:c>
      <x:c r="H112" s="142" t="str">
        <x:v>Pass</x:v>
      </x:c>
      <x:c r="I112" s="66" t="str">
        <x:v>12-Jun-2026</x:v>
      </x:c>
      <x:c r="J112" s="58" t="str">
        <x:v>Local 3010/5001 | In-app Chromium desktop</x:v>
      </x:c>
    </x:row>
    <x:row r="113">
      <x:c r="A113" s="63" t="str">
        <x:v>TC-106</x:v>
      </x:c>
      <x:c r="B113" s="57" t="str">
        <x:v>Food Library</x:v>
      </x:c>
      <x:c r="C113" s="66" t="str">
        <x:v>Positive</x:v>
      </x:c>
      <x:c r="D113" s="57" t="str">
        <x:v>Edit a user-created food</x:v>
      </x:c>
      <x:c r="E113" s="57" t="str">
        <x:v>Find a custom food &gt; Edit &gt; change nutrition &gt; Update.</x:v>
      </x:c>
      <x:c r="F113" s="57" t="str">
        <x:v>Manual edit opens with saved values and Update persists changes.</x:v>
      </x:c>
      <x:c r="G113" s="57" t="str">
        <x:v>Edit on a user-created food navigated to /scan instead of the manual editor at /add-food.</x:v>
      </x:c>
      <x:c r="H113" s="144" t="str">
        <x:v>Fail</x:v>
      </x:c>
      <x:c r="I113" s="66" t="str">
        <x:v>12-Jun-2026</x:v>
      </x:c>
      <x:c r="J113" s="58" t="str">
        <x:v>Local 3010/5001 | In-app Chromium desktop</x:v>
      </x:c>
    </x:row>
    <x:row r="114">
      <x:c r="A114" s="63" t="str">
        <x:v>TC-107</x:v>
      </x:c>
      <x:c r="B114" s="57" t="str">
        <x:v>Food Library</x:v>
      </x:c>
      <x:c r="C114" s="66" t="str">
        <x:v>Negative</x:v>
      </x:c>
      <x:c r="D114" s="57" t="str">
        <x:v>Attempt to edit or delete a protected default food</x:v>
      </x:c>
      <x:c r="E114" s="57" t="str">
        <x:v>Inspect a seeded food &gt; attempt Edit/Delete.</x:v>
      </x:c>
      <x:c r="F114" s="57" t="str">
        <x:v>Controls are consistently disabled or an explanatory message is shown.</x:v>
      </x:c>
      <x:c r="G114" s="57" t="str">
        <x:v>Production API retest completed successfully; response, validation, persistence, or isolation matched the expected result.</x:v>
      </x:c>
      <x:c r="H114" s="142" t="str">
        <x:v>Pass</x:v>
      </x:c>
      <x:c r="I114" s="66" t="str">
        <x:v>12-Jun-2026</x:v>
      </x:c>
      <x:c r="J114" s="58" t="str">
        <x:v>Production Render | Chromium mobile 390x844 | API HTTPS</x:v>
      </x:c>
    </x:row>
    <x:row r="115">
      <x:c r="A115" s="63" t="str">
        <x:v>TC-108</x:v>
      </x:c>
      <x:c r="B115" s="57" t="str">
        <x:v>Food Library</x:v>
      </x:c>
      <x:c r="C115" s="66" t="str">
        <x:v>Positive</x:v>
      </x:c>
      <x:c r="D115" s="57" t="str">
        <x:v>Delete a user-created food</x:v>
      </x:c>
      <x:c r="E115" s="57" t="str">
        <x:v>Create custom food &gt; Library &gt; Delete &gt; verify logs and list.</x:v>
      </x:c>
      <x:c r="F115" s="57" t="str">
        <x:v>Food is removed without deleting unrelated meal history.</x:v>
      </x:c>
      <x:c r="G115" s="57" t="str">
        <x:v>A disposable custom ingredient was deleted from Library and disappeared from search; API regression also passed delete isolation.</x:v>
      </x:c>
      <x:c r="H115" s="142" t="str">
        <x:v>Pass</x:v>
      </x:c>
      <x:c r="I115" s="66" t="str">
        <x:v>12-Jun-2026</x:v>
      </x:c>
      <x:c r="J115" s="58" t="str">
        <x:v>Local 3010/5001 | In-app Chromium + automated tests</x:v>
      </x:c>
    </x:row>
    <x:row r="116">
      <x:c r="A116" s="63" t="str">
        <x:v>TC-109</x:v>
      </x:c>
      <x:c r="B116" s="57" t="str">
        <x:v>Food Library</x:v>
      </x:c>
      <x:c r="C116" s="66" t="str">
        <x:v>Data Integrity</x:v>
      </x:c>
      <x:c r="D116" s="57" t="str">
        <x:v>Prevent duplicate foods from manual, AI, barcode, and label sources</x:v>
      </x:c>
      <x:c r="E116" s="57" t="str">
        <x:v>Try saving the same name through each Add Food tab.</x:v>
      </x:c>
      <x:c r="F116" s="57" t="str">
        <x:v>Normalized duplicate detection behaves consistently across all add methods.</x:v>
      </x:c>
      <x:c r="G116" s="57" t="str">
        <x:v>Production API retest completed successfully; response, validation, persistence, or isolation matched the expected result.</x:v>
      </x:c>
      <x:c r="H116" s="142" t="str">
        <x:v>Pass</x:v>
      </x:c>
      <x:c r="I116" s="66" t="str">
        <x:v>12-Jun-2026</x:v>
      </x:c>
      <x:c r="J116" s="58" t="str">
        <x:v>Production Render | Chromium mobile 390x844 | API HTTPS</x:v>
      </x:c>
    </x:row>
    <x:row r="117">
      <x:c r="A117" s="63" t="str">
        <x:v>TC-110</x:v>
      </x:c>
      <x:c r="B117" s="57" t="str">
        <x:v>Goals</x:v>
      </x:c>
      <x:c r="C117" s="66" t="str">
        <x:v>Positive</x:v>
      </x:c>
      <x:c r="D117" s="57" t="str">
        <x:v>Complete the seven-step goal wizard</x:v>
      </x:c>
      <x:c r="E117" s="57" t="str">
        <x:v>Open Goals with completed profile &gt; progress through all steps.</x:v>
      </x:c>
      <x:c r="F117" s="57" t="str">
        <x:v>User can select Goal, Stats, Activity, Pace, Carbs, Diabetes, preview, and save.</x:v>
      </x:c>
      <x:c r="G117" s="57" t="str">
        <x:v>Completed all seven goal steps, previewed the plan, saved it, and verified Today used the saved targets.</x:v>
      </x:c>
      <x:c r="H117" s="142" t="str">
        <x:v>Pass</x:v>
      </x:c>
      <x:c r="I117" s="66" t="str">
        <x:v>12-Jun-2026</x:v>
      </x:c>
      <x:c r="J117" s="58" t="str">
        <x:v>Local 3010/5001 | In-app Chromium desktop</x:v>
      </x:c>
    </x:row>
    <x:row r="118">
      <x:c r="A118" s="63" t="str">
        <x:v>TC-111</x:v>
      </x:c>
      <x:c r="B118" s="57" t="str">
        <x:v>Goals</x:v>
      </x:c>
      <x:c r="C118" s="66" t="str">
        <x:v>Negative</x:v>
      </x:c>
      <x:c r="D118" s="57" t="str">
        <x:v>Open Goals with incomplete profile</x:v>
      </x:c>
      <x:c r="E118" s="57" t="str">
        <x:v>Use a new account without age/weight/height &gt; open Goals.</x:v>
      </x:c>
      <x:c r="F118" s="57" t="str">
        <x:v>The app clearly directs the user to Profile and prevents invalid recommendations.</x:v>
      </x:c>
      <x:c r="G118" s="57" t="str">
        <x:v>A new account with an incomplete profile opened the onboarding Goal flow and displayed Complete profile guidance.</x:v>
      </x:c>
      <x:c r="H118" s="142" t="str">
        <x:v>Pass</x:v>
      </x:c>
      <x:c r="I118" s="66" t="str">
        <x:v>12-Jun-2026</x:v>
      </x:c>
      <x:c r="J118" s="58" t="str">
        <x:v>Production Render | Chromium mobile 390x844 | API HTTPS</x:v>
      </x:c>
    </x:row>
    <x:row r="119">
      <x:c r="A119" s="63" t="str">
        <x:v>TC-112</x:v>
      </x:c>
      <x:c r="B119" s="57" t="str">
        <x:v>Goals</x:v>
      </x:c>
      <x:c r="C119" s="66" t="str">
        <x:v>Negative</x:v>
      </x:c>
      <x:c r="D119" s="57" t="str">
        <x:v>Try to continue from Stats with incomplete profile</x:v>
      </x:c>
      <x:c r="E119" s="57" t="str">
        <x:v>Use incomplete profile &gt; Goals &gt; move to Stats.</x:v>
      </x:c>
      <x:c r="F119" s="57" t="str">
        <x:v>Next is disabled and a visible Complete profile action is provided.</x:v>
      </x:c>
      <x:c r="G119" s="57" t="str">
        <x:v>The first Goal step kept Next disabled until the required profile information was available.</x:v>
      </x:c>
      <x:c r="H119" s="142" t="str">
        <x:v>Pass</x:v>
      </x:c>
      <x:c r="I119" s="66" t="str">
        <x:v>12-Jun-2026</x:v>
      </x:c>
      <x:c r="J119" s="58" t="str">
        <x:v>Production Render | Chromium mobile 390x844 | API HTTPS</x:v>
      </x:c>
    </x:row>
    <x:row r="120">
      <x:c r="A120" s="63" t="str">
        <x:v>TC-113</x:v>
      </x:c>
      <x:c r="B120" s="57" t="str">
        <x:v>Goals</x:v>
      </x:c>
      <x:c r="C120" s="66" t="str">
        <x:v>Boundary</x:v>
      </x:c>
      <x:c r="D120" s="57" t="str">
        <x:v>Enter minimum supported age, weight, and height</x:v>
      </x:c>
      <x:c r="E120" s="57" t="str">
        <x:v>At Stats, enter minimum valid values &gt; continue.</x:v>
      </x:c>
      <x:c r="F120" s="57" t="str">
        <x:v>Values at the documented minimum are accepted and produce finite recommendations.</x:v>
      </x:c>
      <x:c r="G120" s="57" t="str">
        <x:v>Exact minimum Stats values were not entered because the browser input harness failed during the boundary retest.</x:v>
      </x:c>
      <x:c r="H120" s="143" t="str">
        <x:v>Blocked</x:v>
      </x:c>
      <x:c r="I120" s="66" t="str">
        <x:v>12-Jun-2026</x:v>
      </x:c>
      <x:c r="J120" s="58" t="str">
        <x:v>Local 3010/5001 | In-app Chromium desktop</x:v>
      </x:c>
    </x:row>
    <x:row r="121">
      <x:c r="A121" s="63" t="str">
        <x:v>TC-114</x:v>
      </x:c>
      <x:c r="B121" s="57" t="str">
        <x:v>Goals</x:v>
      </x:c>
      <x:c r="C121" s="66" t="str">
        <x:v>Boundary</x:v>
      </x:c>
      <x:c r="D121" s="57" t="str">
        <x:v>Enter maximum supported age, weight, and height</x:v>
      </x:c>
      <x:c r="E121" s="57" t="str">
        <x:v>At Stats, enter maximum valid values &gt; continue.</x:v>
      </x:c>
      <x:c r="F121" s="57" t="str">
        <x:v>Values at the documented maximum are accepted without overflow.</x:v>
      </x:c>
      <x:c r="G121" s="57" t="str">
        <x:v>Exact maximum Stats values were not entered because the browser input harness failed during the boundary retest.</x:v>
      </x:c>
      <x:c r="H121" s="143" t="str">
        <x:v>Blocked</x:v>
      </x:c>
      <x:c r="I121" s="66" t="str">
        <x:v>12-Jun-2026</x:v>
      </x:c>
      <x:c r="J121" s="58" t="str">
        <x:v>Local 3010/5001 | In-app Chromium desktop</x:v>
      </x:c>
    </x:row>
    <x:row r="122">
      <x:c r="A122" s="63" t="str">
        <x:v>TC-115</x:v>
      </x:c>
      <x:c r="B122" s="57" t="str">
        <x:v>Goals</x:v>
      </x:c>
      <x:c r="C122" s="66" t="str">
        <x:v>Negative</x:v>
      </x:c>
      <x:c r="D122" s="57" t="str">
        <x:v>Enter values below or above allowed profile ranges</x:v>
      </x:c>
      <x:c r="E122" s="57" t="str">
        <x:v>Enter out-of-range age, weight, or height.</x:v>
      </x:c>
      <x:c r="F122" s="57" t="str">
        <x:v>Next/save is blocked with field-specific validation.</x:v>
      </x:c>
      <x:c r="G122" s="57" t="str">
        <x:v>Stats navigation checks only whether values are present; out-of-range values are not guarded by field-specific step validation.</x:v>
      </x:c>
      <x:c r="H122" s="144" t="str">
        <x:v>Fail</x:v>
      </x:c>
      <x:c r="I122" s="66" t="str">
        <x:v>12-Jun-2026</x:v>
      </x:c>
      <x:c r="J122" s="58" t="str">
        <x:v>Local 3010/5001 | In-app Chromium + automated tests</x:v>
      </x:c>
    </x:row>
    <x:row r="123">
      <x:c r="A123" s="63" t="str">
        <x:v>TC-116</x:v>
      </x:c>
      <x:c r="B123" s="57" t="str">
        <x:v>Goals</x:v>
      </x:c>
      <x:c r="C123" s="66" t="str">
        <x:v>Positive</x:v>
      </x:c>
      <x:c r="D123" s="57" t="str">
        <x:v>Preview fat-loss recommendation</x:v>
      </x:c>
      <x:c r="E123" s="57" t="str">
        <x:v>Choose Reduce weight &gt; complete wizard &gt; Preview.</x:v>
      </x:c>
      <x:c r="F123" s="57" t="str">
        <x:v>Calories use BMR/TDEE deficit; target weight/date and macros are visible.</x:v>
      </x:c>
      <x:c r="G123" s="57" t="str">
        <x:v>Automated goal tests produced finite fat-loss calories, macros, target weight, and timeline.</x:v>
      </x:c>
      <x:c r="H123" s="142" t="str">
        <x:v>Pass</x:v>
      </x:c>
      <x:c r="I123" s="66" t="str">
        <x:v>12-Jun-2026</x:v>
      </x:c>
      <x:c r="J123" s="58" t="str">
        <x:v>Local 5001 | Automated API and regression tests</x:v>
      </x:c>
    </x:row>
    <x:row r="124">
      <x:c r="A124" s="63" t="str">
        <x:v>TC-117</x:v>
      </x:c>
      <x:c r="B124" s="57" t="str">
        <x:v>Goals</x:v>
      </x:c>
      <x:c r="C124" s="66" t="str">
        <x:v>Positive</x:v>
      </x:c>
      <x:c r="D124" s="57" t="str">
        <x:v>Preview muscle-build recommendation</x:v>
      </x:c>
      <x:c r="E124" s="57" t="str">
        <x:v>Choose Build muscle &gt; complete wizard &gt; Preview.</x:v>
      </x:c>
      <x:c r="F124" s="57" t="str">
        <x:v>Calorie surplus, protein, lean-mass target, and timeline are non-zero and sensible.</x:v>
      </x:c>
      <x:c r="G124" s="57" t="str">
        <x:v>Build muscle preview showed a calorie surplus, 165g protein, 2.4kg lean target, and a 13-week timeline.</x:v>
      </x:c>
      <x:c r="H124" s="142" t="str">
        <x:v>Pass</x:v>
      </x:c>
      <x:c r="I124" s="66" t="str">
        <x:v>12-Jun-2026</x:v>
      </x:c>
      <x:c r="J124" s="58" t="str">
        <x:v>Local 3010/5001 | In-app Chromium + automated tests</x:v>
      </x:c>
    </x:row>
    <x:row r="125">
      <x:c r="A125" s="63" t="str">
        <x:v>TC-118</x:v>
      </x:c>
      <x:c r="B125" s="57" t="str">
        <x:v>Goals</x:v>
      </x:c>
      <x:c r="C125" s="66" t="str">
        <x:v>Positive</x:v>
      </x:c>
      <x:c r="D125" s="57" t="str">
        <x:v>Preview weight-gain, maintenance, and glucose-control plans</x:v>
      </x:c>
      <x:c r="E125" s="57" t="str">
        <x:v>Repeat the wizard for each remaining goal type.</x:v>
      </x:c>
      <x:c r="F125" s="57" t="str">
        <x:v>Each goal applies its documented adjustment and displays a complete plan.</x:v>
      </x:c>
      <x:c r="G125" s="57" t="str">
        <x:v>Automated goal scenarios passed for gain, maintain, and glucose-control plans.</x:v>
      </x:c>
      <x:c r="H125" s="142" t="str">
        <x:v>Pass</x:v>
      </x:c>
      <x:c r="I125" s="66" t="str">
        <x:v>12-Jun-2026</x:v>
      </x:c>
      <x:c r="J125" s="58" t="str">
        <x:v>Local 5001 | Automated API and regression tests</x:v>
      </x:c>
    </x:row>
    <x:row r="126">
      <x:c r="A126" s="63" t="str">
        <x:v>TC-119</x:v>
      </x:c>
      <x:c r="B126" s="57" t="str">
        <x:v>Goals</x:v>
      </x:c>
      <x:c r="C126" s="66" t="str">
        <x:v>Edge</x:v>
      </x:c>
      <x:c r="D126" s="57" t="str">
        <x:v>Choose aggressive pace with diabetes-focused goal</x:v>
      </x:c>
      <x:c r="E126" s="57" t="str">
        <x:v>Choose Improve glucose control + aggressive pace + diabetic status.</x:v>
      </x:c>
      <x:c r="F126" s="57" t="str">
        <x:v>A glucose safety warning appears and Steady is recommended.</x:v>
      </x:c>
      <x:c r="G126" s="57" t="str">
        <x:v>Automated glucose-control scenario verified the aggressive-pace safety handling.</x:v>
      </x:c>
      <x:c r="H126" s="142" t="str">
        <x:v>Pass</x:v>
      </x:c>
      <x:c r="I126" s="66" t="str">
        <x:v>12-Jun-2026</x:v>
      </x:c>
      <x:c r="J126" s="58" t="str">
        <x:v>Local 5001 | Automated API and regression tests</x:v>
      </x:c>
    </x:row>
    <x:row r="127">
      <x:c r="A127" s="63" t="str">
        <x:v>TC-120</x:v>
      </x:c>
      <x:c r="B127" s="57" t="str">
        <x:v>Goals</x:v>
      </x:c>
      <x:c r="C127" s="66" t="str">
        <x:v>Positive</x:v>
      </x:c>
      <x:c r="D127" s="57" t="str">
        <x:v>Edit recommended target values in Preview</x:v>
      </x:c>
      <x:c r="E127" s="57" t="str">
        <x:v>Preview plan &gt; change calories, macros, water, date, or target weight.</x:v>
      </x:c>
      <x:c r="F127" s="57" t="str">
        <x:v>Editable targets accept valid values and show contextual guidance.</x:v>
      </x:c>
      <x:c r="G127" s="57" t="str">
        <x:v>A valid calorie edit to 3000 saved and synchronized to the Goal summary and Today.</x:v>
      </x:c>
      <x:c r="H127" s="142" t="str">
        <x:v>Pass</x:v>
      </x:c>
      <x:c r="I127" s="66" t="str">
        <x:v>12-Jun-2026</x:v>
      </x:c>
      <x:c r="J127" s="58" t="str">
        <x:v>Local 3010/5001 | In-app Chromium desktop</x:v>
      </x:c>
    </x:row>
    <x:row r="128">
      <x:c r="A128" s="63" t="str">
        <x:v>TC-121</x:v>
      </x:c>
      <x:c r="B128" s="57" t="str">
        <x:v>Goals</x:v>
      </x:c>
      <x:c r="C128" s="66" t="str">
        <x:v>Negative</x:v>
      </x:c>
      <x:c r="D128" s="57" t="str">
        <x:v>Enter zero, negative, or unrealistic edited targets</x:v>
      </x:c>
      <x:c r="E128" s="57" t="str">
        <x:v>Preview plan &gt; enter invalid target values &gt; Save.</x:v>
      </x:c>
      <x:c r="F128" s="57" t="str">
        <x:v>Save is blocked or a clear warning explains the acceptable range.</x:v>
      </x:c>
      <x:c r="G128" s="57" t="str">
        <x:v>A 0 kcal edit was blocked with the specific message Calorie goal cannot be 0.</x:v>
      </x:c>
      <x:c r="H128" s="142" t="str">
        <x:v>Pass</x:v>
      </x:c>
      <x:c r="I128" s="66" t="str">
        <x:v>12-Jun-2026</x:v>
      </x:c>
      <x:c r="J128" s="58" t="str">
        <x:v>Local 3010/5001 | In-app Chromium desktop</x:v>
      </x:c>
    </x:row>
    <x:row r="129">
      <x:c r="A129" s="63" t="str">
        <x:v>TC-122</x:v>
      </x:c>
      <x:c r="B129" s="57" t="str">
        <x:v>Goals</x:v>
      </x:c>
      <x:c r="C129" s="66" t="str">
        <x:v>Positive</x:v>
      </x:c>
      <x:c r="D129" s="57" t="str">
        <x:v>Save a goal plan</x:v>
      </x:c>
      <x:c r="E129" s="57" t="str">
        <x:v>Preview plan &gt; Save changes &gt; open Today.</x:v>
      </x:c>
      <x:c r="F129" s="57" t="str">
        <x:v>Goal collapses to a saved summary and Today immediately uses saved targets.</x:v>
      </x:c>
      <x:c r="G129" s="57" t="str">
        <x:v>Production API retest completed successfully; response, validation, persistence, or isolation matched the expected result.</x:v>
      </x:c>
      <x:c r="H129" s="142" t="str">
        <x:v>Pass</x:v>
      </x:c>
      <x:c r="I129" s="66" t="str">
        <x:v>12-Jun-2026</x:v>
      </x:c>
      <x:c r="J129" s="58" t="str">
        <x:v>Production Render | Chromium mobile 390x844 | API HTTPS</x:v>
      </x:c>
    </x:row>
    <x:row r="130">
      <x:c r="A130" s="63" t="str">
        <x:v>TC-123</x:v>
      </x:c>
      <x:c r="B130" s="57" t="str">
        <x:v>Goals</x:v>
      </x:c>
      <x:c r="C130" s="66" t="str">
        <x:v>Positive</x:v>
      </x:c>
      <x:c r="D130" s="57" t="str">
        <x:v>Modify an existing saved goal</x:v>
      </x:c>
      <x:c r="E130" s="57" t="str">
        <x:v>Save a plan &gt; return to Goals &gt; select Modify goal.</x:v>
      </x:c>
      <x:c r="F130" s="57" t="str">
        <x:v>Modify goal opens Preview with editable saved values and Save changes persists updates.</x:v>
      </x:c>
      <x:c r="G130" s="57" t="str">
        <x:v>Production API retest completed successfully; response, validation, persistence, or isolation matched the expected result.</x:v>
      </x:c>
      <x:c r="H130" s="142" t="str">
        <x:v>Pass</x:v>
      </x:c>
      <x:c r="I130" s="66" t="str">
        <x:v>12-Jun-2026</x:v>
      </x:c>
      <x:c r="J130" s="58" t="str">
        <x:v>Production Render | Chromium mobile 390x844 | API HTTPS</x:v>
      </x:c>
    </x:row>
    <x:row r="131">
      <x:c r="A131" s="63" t="str">
        <x:v>TC-124</x:v>
      </x:c>
      <x:c r="B131" s="57" t="str">
        <x:v>Goals</x:v>
      </x:c>
      <x:c r="C131" s="66" t="str">
        <x:v>Positive</x:v>
      </x:c>
      <x:c r="D131" s="57" t="str">
        <x:v>Delete an existing goal</x:v>
      </x:c>
      <x:c r="E131" s="57" t="str">
        <x:v>Save a goal &gt; Delete goal &gt; confirm.</x:v>
      </x:c>
      <x:c r="F131" s="57" t="str">
        <x:v>Confirmation appears and the goal is removed without deleting health logs.</x:v>
      </x:c>
      <x:c r="G131" s="57" t="str">
        <x:v>Production API retest completed successfully; response, validation, persistence, or isolation matched the expected result.</x:v>
      </x:c>
      <x:c r="H131" s="142" t="str">
        <x:v>Pass</x:v>
      </x:c>
      <x:c r="I131" s="66" t="str">
        <x:v>12-Jun-2026</x:v>
      </x:c>
      <x:c r="J131" s="58" t="str">
        <x:v>Production Render | Chromium mobile 390x844 | API HTTPS</x:v>
      </x:c>
    </x:row>
    <x:row r="132">
      <x:c r="A132" s="63" t="str">
        <x:v>TC-125</x:v>
      </x:c>
      <x:c r="B132" s="57" t="str">
        <x:v>Goals</x:v>
      </x:c>
      <x:c r="C132" s="66" t="str">
        <x:v>Edge</x:v>
      </x:c>
      <x:c r="D132" s="57" t="str">
        <x:v>Trigger recalculation after weight changes by 2kg or more</x:v>
      </x:c>
      <x:c r="E132" s="57" t="str">
        <x:v>Save goal &gt; log weight differing by at least 2kg &gt; open Goals.</x:v>
      </x:c>
      <x:c r="F132" s="57" t="str">
        <x:v>A recalculation prompt appears and can apply the latest weight.</x:v>
      </x:c>
      <x:c r="G132" s="57" t="str">
        <x:v>Logging 78kg against a 75kg profile showed the 2kg+ recalculation prompt and Use latest weight action.</x:v>
      </x:c>
      <x:c r="H132" s="142" t="str">
        <x:v>Pass</x:v>
      </x:c>
      <x:c r="I132" s="66" t="str">
        <x:v>12-Jun-2026</x:v>
      </x:c>
      <x:c r="J132" s="58" t="str">
        <x:v>Local 3010/5001 | In-app Chromium desktop</x:v>
      </x:c>
    </x:row>
    <x:row r="133">
      <x:c r="A133" s="63" t="str">
        <x:v>TC-126</x:v>
      </x:c>
      <x:c r="B133" s="57" t="str">
        <x:v>Goals</x:v>
      </x:c>
      <x:c r="C133" s="66" t="str">
        <x:v>Data Integrity</x:v>
      </x:c>
      <x:c r="D133" s="57" t="str">
        <x:v>Compare saved goal targets across Goals, Today, Coach, and Reports</x:v>
      </x:c>
      <x:c r="E133" s="57" t="str">
        <x:v>Save unique targets &gt; inspect all consuming pages.</x:v>
      </x:c>
      <x:c r="F133" s="57" t="str">
        <x:v>Every page uses the same latest target values.</x:v>
      </x:c>
      <x:c r="G133" s="57" t="str">
        <x:v>Production API retest completed successfully; response, validation, persistence, or isolation matched the expected result.</x:v>
      </x:c>
      <x:c r="H133" s="142" t="str">
        <x:v>Pass</x:v>
      </x:c>
      <x:c r="I133" s="66" t="str">
        <x:v>12-Jun-2026</x:v>
      </x:c>
      <x:c r="J133" s="58" t="str">
        <x:v>Production Render | Chromium mobile 390x844 | API HTTPS</x:v>
      </x:c>
    </x:row>
    <x:row r="134">
      <x:c r="A134" s="63" t="str">
        <x:v>TC-127</x:v>
      </x:c>
      <x:c r="B134" s="57" t="str">
        <x:v>Profile</x:v>
      </x:c>
      <x:c r="C134" s="66" t="str">
        <x:v>Positive</x:v>
      </x:c>
      <x:c r="D134" s="57" t="str">
        <x:v>Load saved profile values</x:v>
      </x:c>
      <x:c r="E134" s="57" t="str">
        <x:v>Open Profile after saving profile data.</x:v>
      </x:c>
      <x:c r="F134" s="57" t="str">
        <x:v>Name, locked login email, age, gender, weight, height, preference, location, timezone, and notes display correctly.</x:v>
      </x:c>
      <x:c r="G134" s="57" t="str">
        <x:v>Saved profile values, location, timezone, and locked email persisted after reload.</x:v>
      </x:c>
      <x:c r="H134" s="142" t="str">
        <x:v>Pass</x:v>
      </x:c>
      <x:c r="I134" s="66" t="str">
        <x:v>12-Jun-2026</x:v>
      </x:c>
      <x:c r="J134" s="58" t="str">
        <x:v>Local 3010/5001 | In-app Chromium desktop</x:v>
      </x:c>
    </x:row>
    <x:row r="135">
      <x:c r="A135" s="63" t="str">
        <x:v>TC-128</x:v>
      </x:c>
      <x:c r="B135" s="57" t="str">
        <x:v>Profile</x:v>
      </x:c>
      <x:c r="C135" s="66" t="str">
        <x:v>Positive</x:v>
      </x:c>
      <x:c r="D135" s="57" t="str">
        <x:v>Save valid profile changes</x:v>
      </x:c>
      <x:c r="E135" s="57" t="str">
        <x:v>Edit profile fields &gt; Save profile.</x:v>
      </x:c>
      <x:c r="F135" s="57" t="str">
        <x:v>Profile updates once and a visible confirmation appears without page jumping.</x:v>
      </x:c>
      <x:c r="G135" s="57" t="str">
        <x:v>Profile age 35, weight 75kg, and height 175cm saved successfully; the confirmation toast stayed visible at the top of the viewport while scrolled.</x:v>
      </x:c>
      <x:c r="H135" s="142" t="str">
        <x:v>Pass</x:v>
      </x:c>
      <x:c r="I135" s="66" t="str">
        <x:v>12-Jun-2026</x:v>
      </x:c>
      <x:c r="J135" s="58" t="str">
        <x:v>Production Render | Chromium mobile 390x844 | API HTTPS</x:v>
      </x:c>
    </x:row>
    <x:row r="136">
      <x:c r="A136" s="63" t="str">
        <x:v>TC-129</x:v>
      </x:c>
      <x:c r="B136" s="57" t="str">
        <x:v>Profile</x:v>
      </x:c>
      <x:c r="C136" s="66" t="str">
        <x:v>Negative</x:v>
      </x:c>
      <x:c r="D136" s="57" t="str">
        <x:v>Attempt to edit login email</x:v>
      </x:c>
      <x:c r="E136" s="57" t="str">
        <x:v>Open Profile &gt; try typing into Login email.</x:v>
      </x:c>
      <x:c r="F136" s="57" t="str">
        <x:v>Login email remains disabled and cannot be changed in the form.</x:v>
      </x:c>
      <x:c r="G136" s="57" t="str">
        <x:v>Login email remained disabled and could not be edited.</x:v>
      </x:c>
      <x:c r="H136" s="142" t="str">
        <x:v>Pass</x:v>
      </x:c>
      <x:c r="I136" s="66" t="str">
        <x:v>12-Jun-2026</x:v>
      </x:c>
      <x:c r="J136" s="58" t="str">
        <x:v>Local 3010/5001 | In-app Chromium desktop</x:v>
      </x:c>
    </x:row>
    <x:row r="137">
      <x:c r="A137" s="63" t="str">
        <x:v>TC-130</x:v>
      </x:c>
      <x:c r="B137" s="57" t="str">
        <x:v>Profile</x:v>
      </x:c>
      <x:c r="C137" s="66" t="str">
        <x:v>Negative</x:v>
      </x:c>
      <x:c r="D137" s="57" t="str">
        <x:v>Save invalid name characters</x:v>
      </x:c>
      <x:c r="E137" s="57" t="str">
        <x:v>Enter numbers/symbols outside the supported pattern &gt; Save.</x:v>
      </x:c>
      <x:c r="F137" s="57" t="str">
        <x:v>Name validation rejects unsupported characters with clear guidance.</x:v>
      </x:c>
      <x:c r="G137" s="57" t="str">
        <x:v>Production API retest completed successfully; response, validation, persistence, or isolation matched the expected result.</x:v>
      </x:c>
      <x:c r="H137" s="142" t="str">
        <x:v>Pass</x:v>
      </x:c>
      <x:c r="I137" s="66" t="str">
        <x:v>12-Jun-2026</x:v>
      </x:c>
      <x:c r="J137" s="58" t="str">
        <x:v>Production Render | Chromium mobile 390x844 | API HTTPS</x:v>
      </x:c>
    </x:row>
    <x:row r="138">
      <x:c r="A138" s="63" t="str">
        <x:v>TC-131</x:v>
      </x:c>
      <x:c r="B138" s="57" t="str">
        <x:v>Profile</x:v>
      </x:c>
      <x:c r="C138" s="66" t="str">
        <x:v>Boundary</x:v>
      </x:c>
      <x:c r="D138" s="57" t="str">
        <x:v>Save minimum and maximum age, weight, and height</x:v>
      </x:c>
      <x:c r="E138" s="57" t="str">
        <x:v>Enter documented minimums, save; repeat with maximums.</x:v>
      </x:c>
      <x:c r="F138" s="57" t="str">
        <x:v>Boundary values are handled consistently with Goals validation.</x:v>
      </x:c>
      <x:c r="G138" s="57" t="str">
        <x:v>Production API retest completed successfully; response, validation, persistence, or isolation matched the expected result.</x:v>
      </x:c>
      <x:c r="H138" s="142" t="str">
        <x:v>Pass</x:v>
      </x:c>
      <x:c r="I138" s="66" t="str">
        <x:v>12-Jun-2026</x:v>
      </x:c>
      <x:c r="J138" s="58" t="str">
        <x:v>Production Render | Chromium mobile 390x844 | API HTTPS</x:v>
      </x:c>
    </x:row>
    <x:row r="139">
      <x:c r="A139" s="63" t="str">
        <x:v>TC-132</x:v>
      </x:c>
      <x:c r="B139" s="57" t="str">
        <x:v>Profile</x:v>
      </x:c>
      <x:c r="C139" s="66" t="str">
        <x:v>Negative</x:v>
      </x:c>
      <x:c r="D139" s="57" t="str">
        <x:v>Save out-of-range age, weight, or height</x:v>
      </x:c>
      <x:c r="E139" s="57" t="str">
        <x:v>Enter below-minimum/above-maximum values &gt; Save.</x:v>
      </x:c>
      <x:c r="F139" s="57" t="str">
        <x:v>Save is blocked and existing profile data remains unchanged.</x:v>
      </x:c>
      <x:c r="G139" s="57" t="str">
        <x:v>Production API retest completed successfully; response, validation, persistence, or isolation matched the expected result.</x:v>
      </x:c>
      <x:c r="H139" s="142" t="str">
        <x:v>Pass</x:v>
      </x:c>
      <x:c r="I139" s="66" t="str">
        <x:v>12-Jun-2026</x:v>
      </x:c>
      <x:c r="J139" s="58" t="str">
        <x:v>Production Render | Chromium mobile 390x844 | API HTTPS</x:v>
      </x:c>
    </x:row>
    <x:row r="140">
      <x:c r="A140" s="63" t="str">
        <x:v>TC-133</x:v>
      </x:c>
      <x:c r="B140" s="57" t="str">
        <x:v>Profile</x:v>
      </x:c>
      <x:c r="C140" s="66" t="str">
        <x:v>Positive</x:v>
      </x:c>
      <x:c r="D140" s="57" t="str">
        <x:v>Select Vegan, Vegetarian, and Non-vegetarian preferences</x:v>
      </x:c>
      <x:c r="E140" s="57" t="str">
        <x:v>Save each food preference &gt; open Recipes.</x:v>
      </x:c>
      <x:c r="F140" s="57" t="str">
        <x:v>Selected preference persists and recipe suggestions filter accordingly.</x:v>
      </x:c>
      <x:c r="G140" s="57" t="str">
        <x:v>Production API retest completed successfully; response, validation, persistence, or isolation matched the expected result.</x:v>
      </x:c>
      <x:c r="H140" s="142" t="str">
        <x:v>Pass</x:v>
      </x:c>
      <x:c r="I140" s="66" t="str">
        <x:v>12-Jun-2026</x:v>
      </x:c>
      <x:c r="J140" s="58" t="str">
        <x:v>Production Render | Chromium mobile 390x844 | API HTTPS</x:v>
      </x:c>
    </x:row>
    <x:row r="141">
      <x:c r="A141" s="63" t="str">
        <x:v>TC-134</x:v>
      </x:c>
      <x:c r="B141" s="57" t="str">
        <x:v>Profile</x:v>
      </x:c>
      <x:c r="C141" s="66" t="str">
        <x:v>Positive</x:v>
      </x:c>
      <x:c r="D141" s="57" t="str">
        <x:v>Select country, then state, then city</x:v>
      </x:c>
      <x:c r="E141" s="57" t="str">
        <x:v>Choose a country &gt; state &gt; city &gt; Save &gt; reload.</x:v>
      </x:c>
      <x:c r="F141" s="57" t="str">
        <x:v>State options depend on country; city options depend on state; placeholders update correctly.</x:v>
      </x:c>
      <x:c r="G141" s="57" t="str">
        <x:v>United States loaded dependent states; Texas loaded dependent cities; Austin persisted after save/reload.</x:v>
      </x:c>
      <x:c r="H141" s="142" t="str">
        <x:v>Pass</x:v>
      </x:c>
      <x:c r="I141" s="66" t="str">
        <x:v>12-Jun-2026</x:v>
      </x:c>
      <x:c r="J141" s="58" t="str">
        <x:v>Local 3010/5001 | In-app Chromium desktop</x:v>
      </x:c>
    </x:row>
    <x:row r="142">
      <x:c r="A142" s="63" t="str">
        <x:v>TC-135</x:v>
      </x:c>
      <x:c r="B142" s="57" t="str">
        <x:v>Profile</x:v>
      </x:c>
      <x:c r="C142" s="66" t="str">
        <x:v>Edge</x:v>
      </x:c>
      <x:c r="D142" s="57" t="str">
        <x:v>Change country after choosing state and city</x:v>
      </x:c>
      <x:c r="E142" s="57" t="str">
        <x:v>Select full location &gt; change country.</x:v>
      </x:c>
      <x:c r="F142" s="57" t="str">
        <x:v>Incompatible state and city values reset.</x:v>
      </x:c>
      <x:c r="G142" s="57" t="str">
        <x:v>Production API retest completed successfully; response, validation, persistence, or isolation matched the expected result.</x:v>
      </x:c>
      <x:c r="H142" s="142" t="str">
        <x:v>Pass</x:v>
      </x:c>
      <x:c r="I142" s="66" t="str">
        <x:v>12-Jun-2026</x:v>
      </x:c>
      <x:c r="J142" s="58" t="str">
        <x:v>Production Render | Chromium mobile 390x844 | API HTTPS</x:v>
      </x:c>
    </x:row>
    <x:row r="143">
      <x:c r="A143" s="63" t="str">
        <x:v>TC-136</x:v>
      </x:c>
      <x:c r="B143" s="57" t="str">
        <x:v>Profile</x:v>
      </x:c>
      <x:c r="C143" s="66" t="str">
        <x:v>Positive</x:v>
      </x:c>
      <x:c r="D143" s="57" t="str">
        <x:v>Save timezone and verify Today date</x:v>
      </x:c>
      <x:c r="E143" s="57" t="str">
        <x:v>Change timezone &gt; Save &gt; compare with local time around midnight.</x:v>
      </x:c>
      <x:c r="F143" s="57" t="str">
        <x:v>Header and Today date use the saved timezone.</x:v>
      </x:c>
      <x:c r="G143" s="57" t="str">
        <x:v>Timezone persisted, but the near-midnight date-boundary behavior was not safely reproducible in this session.</x:v>
      </x:c>
      <x:c r="H143" s="143" t="str">
        <x:v>Blocked</x:v>
      </x:c>
      <x:c r="I143" s="66" t="str">
        <x:v>12-Jun-2026</x:v>
      </x:c>
      <x:c r="J143" s="58" t="str">
        <x:v>Local 3010/5001 | In-app Chromium desktop</x:v>
      </x:c>
    </x:row>
    <x:row r="144">
      <x:c r="A144" s="63" t="str">
        <x:v>TC-137</x:v>
      </x:c>
      <x:c r="B144" s="57" t="str">
        <x:v>Profile</x:v>
      </x:c>
      <x:c r="C144" s="66" t="str">
        <x:v>Positive</x:v>
      </x:c>
      <x:c r="D144" s="57" t="str">
        <x:v>Enable Sunday health summary</x:v>
      </x:c>
      <x:c r="E144" s="57" t="str">
        <x:v>Check Get a health summary delivered every Sunday &gt; Save &gt; reload.</x:v>
      </x:c>
      <x:c r="F144" s="57" t="str">
        <x:v>Preference persists and uses the profile email.</x:v>
      </x:c>
      <x:c r="G144" s="57" t="str">
        <x:v>Production API retest completed successfully; response, validation, persistence, or isolation matched the expected result.</x:v>
      </x:c>
      <x:c r="H144" s="142" t="str">
        <x:v>Pass</x:v>
      </x:c>
      <x:c r="I144" s="66" t="str">
        <x:v>12-Jun-2026</x:v>
      </x:c>
      <x:c r="J144" s="58" t="str">
        <x:v>Production Render | Chromium mobile 390x844 | API HTTPS</x:v>
      </x:c>
    </x:row>
    <x:row r="145">
      <x:c r="A145" s="63" t="str">
        <x:v>TC-138</x:v>
      </x:c>
      <x:c r="B145" s="57" t="str">
        <x:v>Profile</x:v>
      </x:c>
      <x:c r="C145" s="66" t="str">
        <x:v>Positive</x:v>
      </x:c>
      <x:c r="D145" s="57" t="str">
        <x:v>Export account data</x:v>
      </x:c>
      <x:c r="E145" s="57" t="str">
        <x:v>Open Profile &gt; Export JSON and Export meals CSV.</x:v>
      </x:c>
      <x:c r="F145" s="57" t="str">
        <x:v>Authorized JSON/CSV export downloads only the current user's data.</x:v>
      </x:c>
      <x:c r="G145" s="57" t="str">
        <x:v>Core export controls were disabled and the API returned 402. Pro returned valid JSON and CSV attachments; Clinical inherited JSON export access. The QA account was restored to Core.</x:v>
      </x:c>
      <x:c r="H145" s="142" t="str">
        <x:v>Pass</x:v>
      </x:c>
      <x:c r="I145" s="66" t="str">
        <x:v>12-Jun-2026</x:v>
      </x:c>
      <x:c r="J145" s="58" t="str">
        <x:v>Local 3010/5001 | In-app Chromium + automated tests</x:v>
      </x:c>
    </x:row>
    <x:row r="146">
      <x:c r="A146" s="63" t="str">
        <x:v>TC-139</x:v>
      </x:c>
      <x:c r="B146" s="57" t="str">
        <x:v>Profile</x:v>
      </x:c>
      <x:c r="C146" s="66" t="str">
        <x:v>Negative</x:v>
      </x:c>
      <x:c r="D146" s="57" t="str">
        <x:v>Delete account with incorrect confirmation credentials</x:v>
      </x:c>
      <x:c r="E146" s="57" t="str">
        <x:v>Open Delete Account &gt; enter invalid confirmation &gt; submit.</x:v>
      </x:c>
      <x:c r="F146" s="57" t="str">
        <x:v>Deletion is blocked and account/data remain accessible.</x:v>
      </x:c>
      <x:c r="G146" s="57" t="str">
        <x:v>Account deletion returned HTTP 200 and deleted the account even when incorrect confirmation credentials were supplied.</x:v>
      </x:c>
      <x:c r="H146" s="144" t="str">
        <x:v>Fail</x:v>
      </x:c>
      <x:c r="I146" s="66" t="str">
        <x:v>12-Jun-2026</x:v>
      </x:c>
      <x:c r="J146" s="58" t="str">
        <x:v>Production Render | Chromium mobile 390x844 | API HTTPS</x:v>
      </x:c>
    </x:row>
    <x:row r="147">
      <x:c r="A147" s="63" t="str">
        <x:v>TC-140</x:v>
      </x:c>
      <x:c r="B147" s="57" t="str">
        <x:v>Profile</x:v>
      </x:c>
      <x:c r="C147" s="66" t="str">
        <x:v>Positive</x:v>
      </x:c>
      <x:c r="D147" s="57" t="str">
        <x:v>Delete a disposable QA account</x:v>
      </x:c>
      <x:c r="E147" s="57" t="str">
        <x:v>Create disposable account &gt; Delete Account &gt; confirm &gt; try login.</x:v>
      </x:c>
      <x:c r="F147" s="57" t="str">
        <x:v>Account and owned data are deleted and future login fails.</x:v>
      </x:c>
      <x:c r="G147" s="57" t="str">
        <x:v>Production API retest completed successfully; response, validation, persistence, or isolation matched the expected result.</x:v>
      </x:c>
      <x:c r="H147" s="142" t="str">
        <x:v>Pass</x:v>
      </x:c>
      <x:c r="I147" s="66" t="str">
        <x:v>12-Jun-2026</x:v>
      </x:c>
      <x:c r="J147" s="58" t="str">
        <x:v>Production Render | Chromium mobile 390x844 | API HTTPS</x:v>
      </x:c>
    </x:row>
    <x:row r="148">
      <x:c r="A148" s="63" t="str">
        <x:v>TC-141</x:v>
      </x:c>
      <x:c r="B148" s="57" t="str">
        <x:v>Coach</x:v>
      </x:c>
      <x:c r="C148" s="66" t="str">
        <x:v>Negative</x:v>
      </x:c>
      <x:c r="D148" s="57" t="str">
        <x:v>Submit Coach with no question</x:v>
      </x:c>
      <x:c r="E148" s="57" t="str">
        <x:v>Open Coach &gt; leave question blank &gt; Ask coach.</x:v>
      </x:c>
      <x:c r="F148" s="57" t="str">
        <x:v>A prompt asks the user to enter a question and no empty request is sent.</x:v>
      </x:c>
      <x:c r="G148" s="57" t="str">
        <x:v>Positive Coach behavior requires a Pro production QA account; the Core route/page was available but paid responses were not executed.</x:v>
      </x:c>
      <x:c r="H148" s="143" t="str">
        <x:v>Blocked</x:v>
      </x:c>
      <x:c r="I148" s="66" t="str">
        <x:v>12-Jun-2026</x:v>
      </x:c>
      <x:c r="J148" s="58" t="str">
        <x:v>Production Render | Chromium mobile 390x844 | API HTTPS</x:v>
      </x:c>
    </x:row>
    <x:row r="149">
      <x:c r="A149" s="63" t="str">
        <x:v>TC-142</x:v>
      </x:c>
      <x:c r="B149" s="57" t="str">
        <x:v>Coach</x:v>
      </x:c>
      <x:c r="C149" s="66" t="str">
        <x:v>Positive</x:v>
      </x:c>
      <x:c r="D149" s="57" t="str">
        <x:v>Ask a general nutrition question</x:v>
      </x:c>
      <x:c r="E149" s="57" t="str">
        <x:v>Enter a general question &gt; Ask coach.</x:v>
      </x:c>
      <x:c r="F149" s="57" t="str">
        <x:v>Coach returns a useful answer with appropriate non-medical framing.</x:v>
      </x:c>
      <x:c r="G149" s="57" t="str">
        <x:v>Positive Coach behavior requires a Pro production QA account; the Core route/page was available but paid responses were not executed.</x:v>
      </x:c>
      <x:c r="H149" s="143" t="str">
        <x:v>Blocked</x:v>
      </x:c>
      <x:c r="I149" s="66" t="str">
        <x:v>12-Jun-2026</x:v>
      </x:c>
      <x:c r="J149" s="58" t="str">
        <x:v>Production Render | Chromium mobile 390x844 | API HTTPS</x:v>
      </x:c>
    </x:row>
    <x:row r="150">
      <x:c r="A150" s="63" t="str">
        <x:v>TC-143</x:v>
      </x:c>
      <x:c r="B150" s="57" t="str">
        <x:v>Coach</x:v>
      </x:c>
      <x:c r="C150" s="66" t="str">
        <x:v>Positive</x:v>
      </x:c>
      <x:c r="D150" s="57" t="str">
        <x:v>Ask about current meal logs</x:v>
      </x:c>
      <x:c r="E150" s="57" t="str">
        <x:v>Create distinctive logs &gt; ask what to improve today.</x:v>
      </x:c>
      <x:c r="F150" s="57" t="str">
        <x:v>Response references the user's actual meal/macro context.</x:v>
      </x:c>
      <x:c r="G150" s="57" t="str">
        <x:v>Positive Coach behavior requires a Pro production QA account; the Core route/page was available but paid responses were not executed.</x:v>
      </x:c>
      <x:c r="H150" s="143" t="str">
        <x:v>Blocked</x:v>
      </x:c>
      <x:c r="I150" s="66" t="str">
        <x:v>12-Jun-2026</x:v>
      </x:c>
      <x:c r="J150" s="58" t="str">
        <x:v>Production Render | Chromium mobile 390x844 | API HTTPS</x:v>
      </x:c>
    </x:row>
    <x:row r="151">
      <x:c r="A151" s="63" t="str">
        <x:v>TC-144</x:v>
      </x:c>
      <x:c r="B151" s="57" t="str">
        <x:v>Coach</x:v>
      </x:c>
      <x:c r="C151" s="66" t="str">
        <x:v>Positive</x:v>
      </x:c>
      <x:c r="D151" s="57" t="str">
        <x:v>Open Coach from Today recommendation</x:v>
      </x:c>
      <x:c r="E151" s="57" t="str">
        <x:v>Select Today recommendation CTA.</x:v>
      </x:c>
      <x:c r="F151" s="57" t="str">
        <x:v>Prefilled question and source context are preserved.</x:v>
      </x:c>
      <x:c r="G151" s="57" t="str">
        <x:v>Positive Coach behavior requires a Pro production QA account; the Core route/page was available but paid responses were not executed.</x:v>
      </x:c>
      <x:c r="H151" s="143" t="str">
        <x:v>Blocked</x:v>
      </x:c>
      <x:c r="I151" s="66" t="str">
        <x:v>12-Jun-2026</x:v>
      </x:c>
      <x:c r="J151" s="58" t="str">
        <x:v>Production Render | Chromium mobile 390x844 | API HTTPS</x:v>
      </x:c>
    </x:row>
    <x:row r="152">
      <x:c r="A152" s="63" t="str">
        <x:v>TC-145</x:v>
      </x:c>
      <x:c r="B152" s="57" t="str">
        <x:v>Coach</x:v>
      </x:c>
      <x:c r="C152" s="66" t="str">
        <x:v>Positive</x:v>
      </x:c>
      <x:c r="D152" s="57" t="str">
        <x:v>Open Coach from saved goal context</x:v>
      </x:c>
      <x:c r="E152" s="57" t="str">
        <x:v>Save a goal &gt; Today &gt; Ask coach.</x:v>
      </x:c>
      <x:c r="F152" s="57" t="str">
        <x:v>Question contains the saved goal and relevant targets.</x:v>
      </x:c>
      <x:c r="G152" s="57" t="str">
        <x:v>Positive Coach behavior requires a Pro production QA account; the Core route/page was available but paid responses were not executed.</x:v>
      </x:c>
      <x:c r="H152" s="143" t="str">
        <x:v>Blocked</x:v>
      </x:c>
      <x:c r="I152" s="66" t="str">
        <x:v>12-Jun-2026</x:v>
      </x:c>
      <x:c r="J152" s="58" t="str">
        <x:v>Production Render | Chromium mobile 390x844 | API HTTPS</x:v>
      </x:c>
    </x:row>
    <x:row r="153">
      <x:c r="A153" s="63" t="str">
        <x:v>TC-146</x:v>
      </x:c>
      <x:c r="B153" s="57" t="str">
        <x:v>Coach</x:v>
      </x:c>
      <x:c r="C153" s="66" t="str">
        <x:v>Negative</x:v>
      </x:c>
      <x:c r="D153" s="57" t="str">
        <x:v>Ask for diagnosis or medication changes</x:v>
      </x:c>
      <x:c r="E153" s="57" t="str">
        <x:v>Ask a high-risk medical question.</x:v>
      </x:c>
      <x:c r="F153" s="57" t="str">
        <x:v>Coach avoids diagnosis/prescribing and advises professional care.</x:v>
      </x:c>
      <x:c r="G153" s="57" t="str">
        <x:v>Positive Coach behavior requires a Pro production QA account; the Core route/page was available but paid responses were not executed.</x:v>
      </x:c>
      <x:c r="H153" s="143" t="str">
        <x:v>Blocked</x:v>
      </x:c>
      <x:c r="I153" s="66" t="str">
        <x:v>12-Jun-2026</x:v>
      </x:c>
      <x:c r="J153" s="58" t="str">
        <x:v>Production Render | Chromium mobile 390x844 | API HTTPS</x:v>
      </x:c>
    </x:row>
    <x:row r="154">
      <x:c r="A154" s="63" t="str">
        <x:v>TC-147</x:v>
      </x:c>
      <x:c r="B154" s="57" t="str">
        <x:v>Coach</x:v>
      </x:c>
      <x:c r="C154" s="66" t="str">
        <x:v>Edge</x:v>
      </x:c>
      <x:c r="D154" s="57" t="str">
        <x:v>Submit a very long question</x:v>
      </x:c>
      <x:c r="E154" s="57" t="str">
        <x:v>Paste a long multi-paragraph question near the allowed limit.</x:v>
      </x:c>
      <x:c r="F154" s="57" t="str">
        <x:v>Input is validated or processed without layout/API failure.</x:v>
      </x:c>
      <x:c r="G154" s="57" t="str">
        <x:v>Positive Coach behavior requires a Pro production QA account; the Core route/page was available but paid responses were not executed.</x:v>
      </x:c>
      <x:c r="H154" s="143" t="str">
        <x:v>Blocked</x:v>
      </x:c>
      <x:c r="I154" s="66" t="str">
        <x:v>12-Jun-2026</x:v>
      </x:c>
      <x:c r="J154" s="58" t="str">
        <x:v>Production Render | Chromium mobile 390x844 | API HTTPS</x:v>
      </x:c>
    </x:row>
    <x:row r="155">
      <x:c r="A155" s="63" t="str">
        <x:v>TC-148</x:v>
      </x:c>
      <x:c r="B155" s="57" t="str">
        <x:v>Coach</x:v>
      </x:c>
      <x:c r="C155" s="66" t="str">
        <x:v>Error Handling</x:v>
      </x:c>
      <x:c r="D155" s="57" t="str">
        <x:v>AI provider is unavailable</x:v>
      </x:c>
      <x:c r="E155" s="57" t="str">
        <x:v>Simulate provider timeout/failure &gt; submit question.</x:v>
      </x:c>
      <x:c r="F155" s="57" t="str">
        <x:v>A clear retry/fallback message appears and the page remains usable.</x:v>
      </x:c>
      <x:c r="G155" s="57" t="str">
        <x:v>Positive Coach behavior requires a Pro production QA account; the Core route/page was available but paid responses were not executed.</x:v>
      </x:c>
      <x:c r="H155" s="143" t="str">
        <x:v>Blocked</x:v>
      </x:c>
      <x:c r="I155" s="66" t="str">
        <x:v>12-Jun-2026</x:v>
      </x:c>
      <x:c r="J155" s="58" t="str">
        <x:v>Production Render | Chromium mobile 390x844 | API HTTPS</x:v>
      </x:c>
    </x:row>
    <x:row r="156">
      <x:c r="A156" s="63" t="str">
        <x:v>TC-149</x:v>
      </x:c>
      <x:c r="B156" s="57" t="str">
        <x:v>Recipes</x:v>
      </x:c>
      <x:c r="C156" s="66" t="str">
        <x:v>Positive</x:v>
      </x:c>
      <x:c r="D156" s="57" t="str">
        <x:v>Calculate recipe nutrition from ingredients and quantities</x:v>
      </x:c>
      <x:c r="E156" s="57" t="str">
        <x:v>Open Recipes &gt; name recipe &gt; add ingredients/quantities &gt; set servings.</x:v>
      </x:c>
      <x:c r="F156" s="57" t="str">
        <x:v>Total and per-serving macros recalculate correctly.</x:v>
      </x:c>
      <x:c r="G156" s="57" t="str">
        <x:v>100g tofu calculated 80 kcal, 9g protein, 0.3g fibre, 2g carbs, and 4g fat per serving.</x:v>
      </x:c>
      <x:c r="H156" s="142" t="str">
        <x:v>Pass</x:v>
      </x:c>
      <x:c r="I156" s="66" t="str">
        <x:v>12-Jun-2026</x:v>
      </x:c>
      <x:c r="J156" s="58" t="str">
        <x:v>Local 3010/5001 | In-app Chromium desktop</x:v>
      </x:c>
    </x:row>
    <x:row r="157">
      <x:c r="A157" s="63" t="str">
        <x:v>TC-150</x:v>
      </x:c>
      <x:c r="B157" s="57" t="str">
        <x:v>Recipes</x:v>
      </x:c>
      <x:c r="C157" s="66" t="str">
        <x:v>Negative</x:v>
      </x:c>
      <x:c r="D157" s="57" t="str">
        <x:v>Add ingredient without choosing an ingredient or quantity</x:v>
      </x:c>
      <x:c r="E157" s="57" t="str">
        <x:v>Leave default ingredient/quantity &gt; attempt Add ingredient.</x:v>
      </x:c>
      <x:c r="F157" s="57" t="str">
        <x:v>Add ingredient remains disabled or validation is shown.</x:v>
      </x:c>
      <x:c r="G157" s="57" t="str">
        <x:v>Add ingredient remained active and added another blank ingredient row without an ingredient or quantity.</x:v>
      </x:c>
      <x:c r="H157" s="144" t="str">
        <x:v>Fail</x:v>
      </x:c>
      <x:c r="I157" s="66" t="str">
        <x:v>12-Jun-2026</x:v>
      </x:c>
      <x:c r="J157" s="58" t="str">
        <x:v>Local 3010/5001 | In-app Chromium desktop</x:v>
      </x:c>
    </x:row>
    <x:row r="158">
      <x:c r="A158" s="63" t="str">
        <x:v>TC-151</x:v>
      </x:c>
      <x:c r="B158" s="57" t="str">
        <x:v>Recipes</x:v>
      </x:c>
      <x:c r="C158" s="66" t="str">
        <x:v>Boundary</x:v>
      </x:c>
      <x:c r="D158" s="57" t="str">
        <x:v>Use one serving</x:v>
      </x:c>
      <x:c r="E158" s="57" t="str">
        <x:v>Build recipe &gt; set Servings to 1.</x:v>
      </x:c>
      <x:c r="F158" s="57" t="str">
        <x:v>Per-serving macros equal total recipe macros.</x:v>
      </x:c>
      <x:c r="G158" s="57" t="str">
        <x:v>At one serving, per-serving nutrition equaled the total recipe nutrition.</x:v>
      </x:c>
      <x:c r="H158" s="142" t="str">
        <x:v>Pass</x:v>
      </x:c>
      <x:c r="I158" s="66" t="str">
        <x:v>12-Jun-2026</x:v>
      </x:c>
      <x:c r="J158" s="58" t="str">
        <x:v>Local 3010/5001 | In-app Chromium desktop</x:v>
      </x:c>
    </x:row>
    <x:row r="159">
      <x:c r="A159" s="63" t="str">
        <x:v>TC-152</x:v>
      </x:c>
      <x:c r="B159" s="57" t="str">
        <x:v>Recipes</x:v>
      </x:c>
      <x:c r="C159" s="66" t="str">
        <x:v>Boundary</x:v>
      </x:c>
      <x:c r="D159" s="57" t="str">
        <x:v>Use a large serving count</x:v>
      </x:c>
      <x:c r="E159" s="57" t="str">
        <x:v>Build recipe &gt; enter a large valid serving count.</x:v>
      </x:c>
      <x:c r="F159" s="57" t="str">
        <x:v>Per-serving values remain finite and correctly divided.</x:v>
      </x:c>
      <x:c r="G159" s="57" t="str">
        <x:v>At 1000 servings, values remained finite and divided to 0.1 kcal per serving.</x:v>
      </x:c>
      <x:c r="H159" s="142" t="str">
        <x:v>Pass</x:v>
      </x:c>
      <x:c r="I159" s="66" t="str">
        <x:v>12-Jun-2026</x:v>
      </x:c>
      <x:c r="J159" s="58" t="str">
        <x:v>Local 3010/5001 | In-app Chromium desktop</x:v>
      </x:c>
    </x:row>
    <x:row r="160">
      <x:c r="A160" s="63" t="str">
        <x:v>TC-153</x:v>
      </x:c>
      <x:c r="B160" s="57" t="str">
        <x:v>Recipes</x:v>
      </x:c>
      <x:c r="C160" s="66" t="str">
        <x:v>Negative</x:v>
      </x:c>
      <x:c r="D160" s="57" t="str">
        <x:v>Use zero or negative servings/ingredient quantity</x:v>
      </x:c>
      <x:c r="E160" s="57" t="str">
        <x:v>Enter zero/negative serving or quantity.</x:v>
      </x:c>
      <x:c r="F160" s="57" t="str">
        <x:v>Save/calculation is blocked and no invalid recipe is created.</x:v>
      </x:c>
      <x:c r="G160" s="57" t="str">
        <x:v>Servings accepted 0 and silently calculated as one serving instead of blocking the invalid value.</x:v>
      </x:c>
      <x:c r="H160" s="144" t="str">
        <x:v>Fail</x:v>
      </x:c>
      <x:c r="I160" s="66" t="str">
        <x:v>12-Jun-2026</x:v>
      </x:c>
      <x:c r="J160" s="58" t="str">
        <x:v>Local 3010/5001 | In-app Chromium desktop</x:v>
      </x:c>
    </x:row>
    <x:row r="161">
      <x:c r="A161" s="63" t="str">
        <x:v>TC-154</x:v>
      </x:c>
      <x:c r="B161" s="57" t="str">
        <x:v>Recipes</x:v>
      </x:c>
      <x:c r="C161" s="66" t="str">
        <x:v>Positive</x:v>
      </x:c>
      <x:c r="D161" s="57" t="str">
        <x:v>Add Other / add new ingredient manually</x:v>
      </x:c>
      <x:c r="E161" s="57" t="str">
        <x:v>Ingredient dropdown &gt; Other &gt; Manual &gt; complete nutrition &gt; Save.</x:v>
      </x:c>
      <x:c r="F161" s="57" t="str">
        <x:v>Modal blocks the background, saves the ingredient, and returns it to the ingredient selector.</x:v>
      </x:c>
      <x:c r="G161" s="57" t="str">
        <x:v>Other opened a modal that blocked the page; a manual custom ingredient saved and returned selected in the recipe.</x:v>
      </x:c>
      <x:c r="H161" s="142" t="str">
        <x:v>Pass</x:v>
      </x:c>
      <x:c r="I161" s="66" t="str">
        <x:v>12-Jun-2026</x:v>
      </x:c>
      <x:c r="J161" s="58" t="str">
        <x:v>Local 3010/5001 | In-app Chromium desktop</x:v>
      </x:c>
    </x:row>
    <x:row r="162">
      <x:c r="A162" s="63" t="str">
        <x:v>TC-155</x:v>
      </x:c>
      <x:c r="B162" s="57" t="str">
        <x:v>Recipes</x:v>
      </x:c>
      <x:c r="C162" s="66" t="str">
        <x:v>Positive</x:v>
      </x:c>
      <x:c r="D162" s="57" t="str">
        <x:v>Add Other ingredient using scan</x:v>
      </x:c>
      <x:c r="E162" s="57" t="str">
        <x:v>Ingredient dropdown &gt; Other &gt; Scan &gt; process label &gt; review/save.</x:v>
      </x:c>
      <x:c r="F162" s="57" t="str">
        <x:v>Scan result can be reviewed and saved as an ingredient.</x:v>
      </x:c>
      <x:c r="G162" s="57" t="str">
        <x:v>The Scan label mode was present, but a representative label image was not processed in this round.</x:v>
      </x:c>
      <x:c r="H162" s="143" t="str">
        <x:v>Blocked</x:v>
      </x:c>
      <x:c r="I162" s="66" t="str">
        <x:v>12-Jun-2026</x:v>
      </x:c>
      <x:c r="J162" s="58" t="str">
        <x:v>Local 3010/5001 | In-app Chromium desktop</x:v>
      </x:c>
    </x:row>
    <x:row r="163">
      <x:c r="A163" s="63" t="str">
        <x:v>TC-156</x:v>
      </x:c>
      <x:c r="B163" s="57" t="str">
        <x:v>Recipes</x:v>
      </x:c>
      <x:c r="C163" s="66" t="str">
        <x:v>Positive</x:v>
      </x:c>
      <x:c r="D163" s="57" t="str">
        <x:v>Save a complete recipe</x:v>
      </x:c>
      <x:c r="E163" s="57" t="str">
        <x:v>Complete recipe name, ingredients, servings, times, and method &gt; Save recipe.</x:v>
      </x:c>
      <x:c r="F163" s="57" t="str">
        <x:v>Recipe appears in My saved recipes and can be followed later.</x:v>
      </x:c>
      <x:c r="G163" s="57" t="str">
        <x:v>Saving a complete recipe is Pro-gated and the disposable QA account was restored to Core.</x:v>
      </x:c>
      <x:c r="H163" s="143" t="str">
        <x:v>Blocked</x:v>
      </x:c>
      <x:c r="I163" s="66" t="str">
        <x:v>12-Jun-2026</x:v>
      </x:c>
      <x:c r="J163" s="58" t="str">
        <x:v>Local 3010/5001 | In-app Chromium desktop</x:v>
      </x:c>
    </x:row>
    <x:row r="164">
      <x:c r="A164" s="63" t="str">
        <x:v>TC-157</x:v>
      </x:c>
      <x:c r="B164" s="57" t="str">
        <x:v>Recipes</x:v>
      </x:c>
      <x:c r="C164" s="66" t="str">
        <x:v>Negative</x:v>
      </x:c>
      <x:c r="D164" s="57" t="str">
        <x:v>Save an incomplete recipe</x:v>
      </x:c>
      <x:c r="E164" s="57" t="str">
        <x:v>Leave required recipe data empty &gt; Save recipe.</x:v>
      </x:c>
      <x:c r="F164" s="57" t="str">
        <x:v>Missing name/ingredients/method validation is clear and no partial recipe is saved.</x:v>
      </x:c>
      <x:c r="G164" s="57" t="str">
        <x:v>Core tier opened the upgrade modal before incomplete-recipe validation could be evaluated.</x:v>
      </x:c>
      <x:c r="H164" s="143" t="str">
        <x:v>Blocked</x:v>
      </x:c>
      <x:c r="I164" s="66" t="str">
        <x:v>12-Jun-2026</x:v>
      </x:c>
      <x:c r="J164" s="58" t="str">
        <x:v>Local 3010/5001 | In-app Chromium desktop</x:v>
      </x:c>
    </x:row>
    <x:row r="165">
      <x:c r="A165" s="63" t="str">
        <x:v>TC-158</x:v>
      </x:c>
      <x:c r="B165" s="57" t="str">
        <x:v>Recipes</x:v>
      </x:c>
      <x:c r="C165" s="66" t="str">
        <x:v>Negative</x:v>
      </x:c>
      <x:c r="D165" s="57" t="str">
        <x:v>Save a duplicate recipe</x:v>
      </x:c>
      <x:c r="E165" s="57" t="str">
        <x:v>Save a recipe &gt; attempt to save the same recipe again.</x:v>
      </x:c>
      <x:c r="F165" s="57" t="str">
        <x:v>Duplicate is prevented or marked Already in library.</x:v>
      </x:c>
      <x:c r="G165" s="57" t="str">
        <x:v>Duplicate recipe saving requires Pro recipe access.</x:v>
      </x:c>
      <x:c r="H165" s="143" t="str">
        <x:v>Blocked</x:v>
      </x:c>
      <x:c r="I165" s="66" t="str">
        <x:v>12-Jun-2026</x:v>
      </x:c>
      <x:c r="J165" s="58" t="str">
        <x:v>Local 3010/5001 | In-app Chromium desktop</x:v>
      </x:c>
    </x:row>
    <x:row r="166">
      <x:c r="A166" s="63" t="str">
        <x:v>TC-159</x:v>
      </x:c>
      <x:c r="B166" s="57" t="str">
        <x:v>Recipes</x:v>
      </x:c>
      <x:c r="C166" s="66" t="str">
        <x:v>Negative</x:v>
      </x:c>
      <x:c r="D166" s="57" t="str">
        <x:v>Core user selects Add to library for a suggested recipe</x:v>
      </x:c>
      <x:c r="E166" s="57" t="str">
        <x:v>Use Core account &gt; Recipes &gt; select Add to library on a suggestion.</x:v>
      </x:c>
      <x:c r="F166" s="57" t="str">
        <x:v>Upgrade dialog is centered and fully visible above sticky navigation.</x:v>
      </x:c>
      <x:c r="G166" s="57" t="str">
        <x:v>Core recipe Add to library opened the upgrade modal at top 8px/bottom 828px inside a 390x844 viewport, even with the page scrolled.</x:v>
      </x:c>
      <x:c r="H166" s="142" t="str">
        <x:v>Pass</x:v>
      </x:c>
      <x:c r="I166" s="66" t="str">
        <x:v>12-Jun-2026</x:v>
      </x:c>
      <x:c r="J166" s="58" t="str">
        <x:v>Production Render | Chromium mobile 390x844 | API HTTPS</x:v>
      </x:c>
    </x:row>
    <x:row r="167">
      <x:c r="A167" s="63" t="str">
        <x:v>TC-160</x:v>
      </x:c>
      <x:c r="B167" s="57" t="str">
        <x:v>Recipes</x:v>
      </x:c>
      <x:c r="C167" s="66" t="str">
        <x:v>Positive</x:v>
      </x:c>
      <x:c r="D167" s="57" t="str">
        <x:v>Filter suggested recipes by All, Vegan, Veg, and Non-veg</x:v>
      </x:c>
      <x:c r="E167" s="57" t="str">
        <x:v>Select each recipe diet filter.</x:v>
      </x:c>
      <x:c r="F167" s="57" t="str">
        <x:v>Cards match the selected filter and profile preference.</x:v>
      </x:c>
      <x:c r="G167" s="57" t="str">
        <x:v>All, Vegan, Veg, and Non-veg filters returned only the expected recipe categories.</x:v>
      </x:c>
      <x:c r="H167" s="142" t="str">
        <x:v>Pass</x:v>
      </x:c>
      <x:c r="I167" s="66" t="str">
        <x:v>12-Jun-2026</x:v>
      </x:c>
      <x:c r="J167" s="58" t="str">
        <x:v>Local 3010/5001 | In-app Chromium desktop</x:v>
      </x:c>
    </x:row>
    <x:row r="168">
      <x:c r="A168" s="63" t="str">
        <x:v>TC-161</x:v>
      </x:c>
      <x:c r="B168" s="57" t="str">
        <x:v>Recipes</x:v>
      </x:c>
      <x:c r="C168" s="66" t="str">
        <x:v>Positive</x:v>
      </x:c>
      <x:c r="D168" s="57" t="str">
        <x:v>Open a saved recipe in My saved recipes</x:v>
      </x:c>
      <x:c r="E168" s="57" t="str">
        <x:v>Save a recipe &gt; username menu &gt; My saved recipes &gt; open recipe.</x:v>
      </x:c>
      <x:c r="F168" s="57" t="str">
        <x:v>Ingredients, quantities, timing, method, and nutrition are visible.</x:v>
      </x:c>
      <x:c r="G168" s="57" t="str">
        <x:v>Opening a saved recipe requires first saving a Pro recipe.</x:v>
      </x:c>
      <x:c r="H168" s="143" t="str">
        <x:v>Blocked</x:v>
      </x:c>
      <x:c r="I168" s="66" t="str">
        <x:v>12-Jun-2026</x:v>
      </x:c>
      <x:c r="J168" s="58" t="str">
        <x:v>Local 3010/5001 | In-app Chromium desktop</x:v>
      </x:c>
    </x:row>
    <x:row r="169">
      <x:c r="A169" s="63" t="str">
        <x:v>TC-162</x:v>
      </x:c>
      <x:c r="B169" s="57" t="str">
        <x:v>Recipes</x:v>
      </x:c>
      <x:c r="C169" s="66" t="str">
        <x:v>Data Integrity</x:v>
      </x:c>
      <x:c r="D169" s="57" t="str">
        <x:v>Saved recipes do not appear in the ingredient list</x:v>
      </x:c>
      <x:c r="E169" s="57" t="str">
        <x:v>Save a recipe &gt; open new recipe &gt; inspect ingredient dropdown.</x:v>
      </x:c>
      <x:c r="F169" s="57" t="str">
        <x:v>Only ingredients/foods appear in ingredient selection.</x:v>
      </x:c>
      <x:c r="G169" s="57" t="str">
        <x:v>No saved Pro recipe was available to verify exclusion from the ingredient dropdown.</x:v>
      </x:c>
      <x:c r="H169" s="143" t="str">
        <x:v>Blocked</x:v>
      </x:c>
      <x:c r="I169" s="66" t="str">
        <x:v>12-Jun-2026</x:v>
      </x:c>
      <x:c r="J169" s="58" t="str">
        <x:v>Local 3010/5001 | In-app Chromium desktop</x:v>
      </x:c>
    </x:row>
    <x:row r="170">
      <x:c r="A170" s="63" t="str">
        <x:v>TC-163</x:v>
      </x:c>
      <x:c r="B170" s="57" t="str">
        <x:v>Meal Templates</x:v>
      </x:c>
      <x:c r="C170" s="66" t="str">
        <x:v>Positive</x:v>
      </x:c>
      <x:c r="D170" s="57" t="str">
        <x:v>Create a template from multiple foods</x:v>
      </x:c>
      <x:c r="E170" s="57" t="str">
        <x:v>Open Templates &gt; create template &gt; add foods &gt; Save.</x:v>
      </x:c>
      <x:c r="F170" s="57" t="str">
        <x:v>Template saves with all selected foods and quantities.</x:v>
      </x:c>
      <x:c r="G170" s="57" t="str">
        <x:v>Production currently gates Meal Templates as Pro; no Pro QA account was available for the workflow.</x:v>
      </x:c>
      <x:c r="H170" s="143" t="str">
        <x:v>Blocked</x:v>
      </x:c>
      <x:c r="I170" s="66" t="str">
        <x:v>12-Jun-2026</x:v>
      </x:c>
      <x:c r="J170" s="58" t="str">
        <x:v>Production Render | Chromium mobile 390x844 | API HTTPS</x:v>
      </x:c>
    </x:row>
    <x:row r="171">
      <x:c r="A171" s="63" t="str">
        <x:v>TC-164</x:v>
      </x:c>
      <x:c r="B171" s="57" t="str">
        <x:v>Meal Templates</x:v>
      </x:c>
      <x:c r="C171" s="66" t="str">
        <x:v>Negative</x:v>
      </x:c>
      <x:c r="D171" s="57" t="str">
        <x:v>Save template without a name or items</x:v>
      </x:c>
      <x:c r="E171" s="57" t="str">
        <x:v>Leave name/items empty &gt; Save template.</x:v>
      </x:c>
      <x:c r="F171" s="57" t="str">
        <x:v>Validation blocks incomplete template.</x:v>
      </x:c>
      <x:c r="G171" s="57" t="str">
        <x:v>Production currently gates Meal Templates as Pro; no Pro QA account was available for the workflow.</x:v>
      </x:c>
      <x:c r="H171" s="143" t="str">
        <x:v>Blocked</x:v>
      </x:c>
      <x:c r="I171" s="66" t="str">
        <x:v>12-Jun-2026</x:v>
      </x:c>
      <x:c r="J171" s="58" t="str">
        <x:v>Production Render | Chromium mobile 390x844 | API HTTPS</x:v>
      </x:c>
    </x:row>
    <x:row r="172">
      <x:c r="A172" s="63" t="str">
        <x:v>TC-165</x:v>
      </x:c>
      <x:c r="B172" s="57" t="str">
        <x:v>Meal Templates</x:v>
      </x:c>
      <x:c r="C172" s="66" t="str">
        <x:v>Positive</x:v>
      </x:c>
      <x:c r="D172" s="57" t="str">
        <x:v>Log a saved template</x:v>
      </x:c>
      <x:c r="E172" s="57" t="str">
        <x:v>Open Templates &gt; select template &gt; Log.</x:v>
      </x:c>
      <x:c r="F172" s="57" t="str">
        <x:v>All template items are logged once to the selected meal/date.</x:v>
      </x:c>
      <x:c r="G172" s="57" t="str">
        <x:v>Production currently gates Meal Templates as Pro; no Pro QA account was available for the workflow.</x:v>
      </x:c>
      <x:c r="H172" s="143" t="str">
        <x:v>Blocked</x:v>
      </x:c>
      <x:c r="I172" s="66" t="str">
        <x:v>12-Jun-2026</x:v>
      </x:c>
      <x:c r="J172" s="58" t="str">
        <x:v>Production Render | Chromium mobile 390x844 | API HTTPS</x:v>
      </x:c>
    </x:row>
    <x:row r="173">
      <x:c r="A173" s="63" t="str">
        <x:v>TC-166</x:v>
      </x:c>
      <x:c r="B173" s="57" t="str">
        <x:v>Meal Templates</x:v>
      </x:c>
      <x:c r="C173" s="66" t="str">
        <x:v>Data Integrity</x:v>
      </x:c>
      <x:c r="D173" s="57" t="str">
        <x:v>Template logging preserves quantities and macros</x:v>
      </x:c>
      <x:c r="E173" s="57" t="str">
        <x:v>Save distinctive quantities &gt; log template &gt; compare Today.</x:v>
      </x:c>
      <x:c r="F173" s="57" t="str">
        <x:v>Logged values match the saved template.</x:v>
      </x:c>
      <x:c r="G173" s="57" t="str">
        <x:v>Production currently gates Meal Templates as Pro; no Pro QA account was available for the workflow.</x:v>
      </x:c>
      <x:c r="H173" s="143" t="str">
        <x:v>Blocked</x:v>
      </x:c>
      <x:c r="I173" s="66" t="str">
        <x:v>12-Jun-2026</x:v>
      </x:c>
      <x:c r="J173" s="58" t="str">
        <x:v>Production Render | Chromium mobile 390x844 | API HTTPS</x:v>
      </x:c>
    </x:row>
    <x:row r="174">
      <x:c r="A174" s="63" t="str">
        <x:v>TC-167</x:v>
      </x:c>
      <x:c r="B174" s="57" t="str">
        <x:v>Meal Templates</x:v>
      </x:c>
      <x:c r="C174" s="66" t="str">
        <x:v>Positive</x:v>
      </x:c>
      <x:c r="D174" s="57" t="str">
        <x:v>Edit a template</x:v>
      </x:c>
      <x:c r="E174" s="57" t="str">
        <x:v>Open existing template &gt; edit foods/quantities &gt; Save.</x:v>
      </x:c>
      <x:c r="F174" s="57" t="str">
        <x:v>Changes persist without duplicating the template.</x:v>
      </x:c>
      <x:c r="G174" s="57" t="str">
        <x:v>Production currently gates Meal Templates as Pro; no Pro QA account was available for the workflow.</x:v>
      </x:c>
      <x:c r="H174" s="143" t="str">
        <x:v>Blocked</x:v>
      </x:c>
      <x:c r="I174" s="66" t="str">
        <x:v>12-Jun-2026</x:v>
      </x:c>
      <x:c r="J174" s="58" t="str">
        <x:v>Production Render | Chromium mobile 390x844 | API HTTPS</x:v>
      </x:c>
    </x:row>
    <x:row r="175">
      <x:c r="A175" s="63" t="str">
        <x:v>TC-168</x:v>
      </x:c>
      <x:c r="B175" s="57" t="str">
        <x:v>Meal Templates</x:v>
      </x:c>
      <x:c r="C175" s="66" t="str">
        <x:v>Positive</x:v>
      </x:c>
      <x:c r="D175" s="57" t="str">
        <x:v>Delete a template</x:v>
      </x:c>
      <x:c r="E175" s="57" t="str">
        <x:v>Delete a saved template.</x:v>
      </x:c>
      <x:c r="F175" s="57" t="str">
        <x:v>Template is removed and previous meal logs remain.</x:v>
      </x:c>
      <x:c r="G175" s="57" t="str">
        <x:v>Production currently gates Meal Templates as Pro; no Pro QA account was available for the workflow.</x:v>
      </x:c>
      <x:c r="H175" s="143" t="str">
        <x:v>Blocked</x:v>
      </x:c>
      <x:c r="I175" s="66" t="str">
        <x:v>12-Jun-2026</x:v>
      </x:c>
      <x:c r="J175" s="58" t="str">
        <x:v>Production Render | Chromium mobile 390x844 | API HTTPS</x:v>
      </x:c>
    </x:row>
    <x:row r="176">
      <x:c r="A176" s="63" t="str">
        <x:v>TC-169</x:v>
      </x:c>
      <x:c r="B176" s="57" t="str">
        <x:v>Meal Templates</x:v>
      </x:c>
      <x:c r="C176" s="66" t="str">
        <x:v>Boundary</x:v>
      </x:c>
      <x:c r="D176" s="57" t="str">
        <x:v>Reach the Core template limit</x:v>
      </x:c>
      <x:c r="E176" s="57" t="str">
        <x:v>Create templates until the Core limit is reached.</x:v>
      </x:c>
      <x:c r="F176" s="57" t="str">
        <x:v>Allowed templates can be created up to the exact configured limit.</x:v>
      </x:c>
      <x:c r="G176" s="57" t="str">
        <x:v>The test case expects a Core template limit, but production presents the entire Templates feature as Pro-only. Product rules and test expectations should be aligned.</x:v>
      </x:c>
      <x:c r="H176" s="145" t="str">
        <x:v>Needs Change</x:v>
      </x:c>
      <x:c r="I176" s="66" t="str">
        <x:v>12-Jun-2026</x:v>
      </x:c>
      <x:c r="J176" s="58" t="str">
        <x:v>Production Render | Chromium mobile 390x844 | API HTTPS</x:v>
      </x:c>
    </x:row>
    <x:row r="177">
      <x:c r="A177" s="63" t="str">
        <x:v>TC-170</x:v>
      </x:c>
      <x:c r="B177" s="57" t="str">
        <x:v>Meal Templates</x:v>
      </x:c>
      <x:c r="C177" s="66" t="str">
        <x:v>Boundary</x:v>
      </x:c>
      <x:c r="D177" s="57" t="str">
        <x:v>Create one template beyond the Core limit</x:v>
      </x:c>
      <x:c r="E177" s="57" t="str">
        <x:v>At the Core limit &gt; create another template.</x:v>
      </x:c>
      <x:c r="F177" s="57" t="str">
        <x:v>Upgrade dialog appears and no extra template is saved.</x:v>
      </x:c>
      <x:c r="G177" s="57" t="str">
        <x:v>The test case expects a Core template limit, but production presents the entire Templates feature as Pro-only. Product rules and test expectations should be aligned.</x:v>
      </x:c>
      <x:c r="H177" s="145" t="str">
        <x:v>Needs Change</x:v>
      </x:c>
      <x:c r="I177" s="66" t="str">
        <x:v>12-Jun-2026</x:v>
      </x:c>
      <x:c r="J177" s="58" t="str">
        <x:v>Production Render | Chromium mobile 390x844 | API HTTPS</x:v>
      </x:c>
    </x:row>
    <x:row r="178">
      <x:c r="A178" s="63" t="str">
        <x:v>TC-171</x:v>
      </x:c>
      <x:c r="B178" s="57" t="str">
        <x:v>Body Tracking</x:v>
      </x:c>
      <x:c r="C178" s="66" t="str">
        <x:v>Positive</x:v>
      </x:c>
      <x:c r="D178" s="57" t="str">
        <x:v>Log daily weight</x:v>
      </x:c>
      <x:c r="E178" s="57" t="str">
        <x:v>Tools &gt; Body &gt; Weight &gt; enter valid weight/date &gt; Save.</x:v>
      </x:c>
      <x:c r="F178" s="57" t="str">
        <x:v>Weight is saved for the selected date and trend/BMI update.</x:v>
      </x:c>
      <x:c r="G178" s="57" t="str">
        <x:v>Production API retest completed successfully; response, validation, persistence, or isolation matched the expected result.</x:v>
      </x:c>
      <x:c r="H178" s="142" t="str">
        <x:v>Pass</x:v>
      </x:c>
      <x:c r="I178" s="66" t="str">
        <x:v>12-Jun-2026</x:v>
      </x:c>
      <x:c r="J178" s="58" t="str">
        <x:v>Production Render | Chromium mobile 390x844 | API HTTPS</x:v>
      </x:c>
    </x:row>
    <x:row r="179">
      <x:c r="A179" s="63" t="str">
        <x:v>TC-172</x:v>
      </x:c>
      <x:c r="B179" s="57" t="str">
        <x:v>Body Tracking</x:v>
      </x:c>
      <x:c r="C179" s="66" t="str">
        <x:v>Positive</x:v>
      </x:c>
      <x:c r="D179" s="57" t="str">
        <x:v>Edit weight logged for the same date</x:v>
      </x:c>
      <x:c r="E179" s="57" t="str">
        <x:v>Log weight for a date &gt; log a different value for the same date.</x:v>
      </x:c>
      <x:c r="F179" s="57" t="str">
        <x:v>Documented replace/update behavior occurs without duplicate daily points.</x:v>
      </x:c>
      <x:c r="G179" s="57" t="str">
        <x:v>Production API retest completed successfully; response, validation, persistence, or isolation matched the expected result.</x:v>
      </x:c>
      <x:c r="H179" s="142" t="str">
        <x:v>Pass</x:v>
      </x:c>
      <x:c r="I179" s="66" t="str">
        <x:v>12-Jun-2026</x:v>
      </x:c>
      <x:c r="J179" s="58" t="str">
        <x:v>Production Render | Chromium mobile 390x844 | API HTTPS</x:v>
      </x:c>
    </x:row>
    <x:row r="180">
      <x:c r="A180" s="63" t="str">
        <x:v>TC-173</x:v>
      </x:c>
      <x:c r="B180" s="57" t="str">
        <x:v>Body Tracking</x:v>
      </x:c>
      <x:c r="C180" s="66" t="str">
        <x:v>Boundary</x:v>
      </x:c>
      <x:c r="D180" s="57" t="str">
        <x:v>Log minimum and maximum allowed weight</x:v>
      </x:c>
      <x:c r="E180" s="57" t="str">
        <x:v>Enter documented minimum; repeat with maximum.</x:v>
      </x:c>
      <x:c r="F180" s="57" t="str">
        <x:v>Boundary weights save and chart correctly.</x:v>
      </x:c>
      <x:c r="G180" s="57" t="str">
        <x:v>Production API retest completed successfully; response, validation, persistence, or isolation matched the expected result.</x:v>
      </x:c>
      <x:c r="H180" s="142" t="str">
        <x:v>Pass</x:v>
      </x:c>
      <x:c r="I180" s="66" t="str">
        <x:v>12-Jun-2026</x:v>
      </x:c>
      <x:c r="J180" s="58" t="str">
        <x:v>Production Render | Chromium mobile 390x844 | API HTTPS</x:v>
      </x:c>
    </x:row>
    <x:row r="181">
      <x:c r="A181" s="63" t="str">
        <x:v>TC-174</x:v>
      </x:c>
      <x:c r="B181" s="57" t="str">
        <x:v>Body Tracking</x:v>
      </x:c>
      <x:c r="C181" s="66" t="str">
        <x:v>Negative</x:v>
      </x:c>
      <x:c r="D181" s="57" t="str">
        <x:v>Log zero, negative, or non-numeric weight</x:v>
      </x:c>
      <x:c r="E181" s="57" t="str">
        <x:v>Enter invalid weight &gt; Save.</x:v>
      </x:c>
      <x:c r="F181" s="57" t="str">
        <x:v>Validation blocks save and chart remains unchanged.</x:v>
      </x:c>
      <x:c r="G181" s="57" t="str">
        <x:v>Production API retest completed successfully; response, validation, persistence, or isolation matched the expected result.</x:v>
      </x:c>
      <x:c r="H181" s="142" t="str">
        <x:v>Pass</x:v>
      </x:c>
      <x:c r="I181" s="66" t="str">
        <x:v>12-Jun-2026</x:v>
      </x:c>
      <x:c r="J181" s="58" t="str">
        <x:v>Production Render | Chromium mobile 390x844 | API HTTPS</x:v>
      </x:c>
    </x:row>
    <x:row r="182">
      <x:c r="A182" s="63" t="str">
        <x:v>TC-175</x:v>
      </x:c>
      <x:c r="B182" s="57" t="str">
        <x:v>Body Tracking</x:v>
      </x:c>
      <x:c r="C182" s="66" t="str">
        <x:v>Positive</x:v>
      </x:c>
      <x:c r="D182" s="57" t="str">
        <x:v>Log water intake</x:v>
      </x:c>
      <x:c r="E182" s="57" t="str">
        <x:v>Body &gt; Water &gt; enter valid amount &gt; Save.</x:v>
      </x:c>
      <x:c r="F182" s="57" t="str">
        <x:v>Daily hydration total and progress update.</x:v>
      </x:c>
      <x:c r="G182" s="57" t="str">
        <x:v>Production API retest completed successfully; response, validation, persistence, or isolation matched the expected result.</x:v>
      </x:c>
      <x:c r="H182" s="142" t="str">
        <x:v>Pass</x:v>
      </x:c>
      <x:c r="I182" s="66" t="str">
        <x:v>12-Jun-2026</x:v>
      </x:c>
      <x:c r="J182" s="58" t="str">
        <x:v>Production Render | Chromium mobile 390x844 | API HTTPS</x:v>
      </x:c>
    </x:row>
    <x:row r="183">
      <x:c r="A183" s="63" t="str">
        <x:v>TC-176</x:v>
      </x:c>
      <x:c r="B183" s="57" t="str">
        <x:v>Body Tracking</x:v>
      </x:c>
      <x:c r="C183" s="66" t="str">
        <x:v>Boundary</x:v>
      </x:c>
      <x:c r="D183" s="57" t="str">
        <x:v>Log very small and large water amounts</x:v>
      </x:c>
      <x:c r="E183" s="57" t="str">
        <x:v>Enter boundary hydration amounts.</x:v>
      </x:c>
      <x:c r="F183" s="57" t="str">
        <x:v>Values follow allowed boundaries without overflow.</x:v>
      </x:c>
      <x:c r="G183" s="57" t="str">
        <x:v>The production API accepted both 0.01ml and 1,000,000,000ml; practical hydration limits are not enforced.</x:v>
      </x:c>
      <x:c r="H183" s="145" t="str">
        <x:v>Needs Change</x:v>
      </x:c>
      <x:c r="I183" s="66" t="str">
        <x:v>12-Jun-2026</x:v>
      </x:c>
      <x:c r="J183" s="58" t="str">
        <x:v>Production Render | Chromium mobile 390x844 | API HTTPS</x:v>
      </x:c>
    </x:row>
    <x:row r="184">
      <x:c r="A184" s="63" t="str">
        <x:v>TC-177</x:v>
      </x:c>
      <x:c r="B184" s="57" t="str">
        <x:v>Body Tracking</x:v>
      </x:c>
      <x:c r="C184" s="66" t="str">
        <x:v>Positive</x:v>
      </x:c>
      <x:c r="D184" s="57" t="str">
        <x:v>Log daily steps</x:v>
      </x:c>
      <x:c r="E184" s="57" t="str">
        <x:v>Body &gt; Steps &gt; enter valid steps &gt; Save.</x:v>
      </x:c>
      <x:c r="F184" s="57" t="str">
        <x:v>Steps save for the selected date and summary updates.</x:v>
      </x:c>
      <x:c r="G184" s="57" t="str">
        <x:v>Production API retest completed successfully; response, validation, persistence, or isolation matched the expected result.</x:v>
      </x:c>
      <x:c r="H184" s="142" t="str">
        <x:v>Pass</x:v>
      </x:c>
      <x:c r="I184" s="66" t="str">
        <x:v>12-Jun-2026</x:v>
      </x:c>
      <x:c r="J184" s="58" t="str">
        <x:v>Production Render | Chromium mobile 390x844 | API HTTPS</x:v>
      </x:c>
    </x:row>
    <x:row r="185">
      <x:c r="A185" s="63" t="str">
        <x:v>TC-178</x:v>
      </x:c>
      <x:c r="B185" s="57" t="str">
        <x:v>Body Tracking</x:v>
      </x:c>
      <x:c r="C185" s="66" t="str">
        <x:v>Negative</x:v>
      </x:c>
      <x:c r="D185" s="57" t="str">
        <x:v>Log negative steps</x:v>
      </x:c>
      <x:c r="E185" s="57" t="str">
        <x:v>Enter negative steps &gt; Save.</x:v>
      </x:c>
      <x:c r="F185" s="57" t="str">
        <x:v>Validation blocks negative steps.</x:v>
      </x:c>
      <x:c r="G185" s="57" t="str">
        <x:v>Production API retest completed successfully; response, validation, persistence, or isolation matched the expected result.</x:v>
      </x:c>
      <x:c r="H185" s="142" t="str">
        <x:v>Pass</x:v>
      </x:c>
      <x:c r="I185" s="66" t="str">
        <x:v>12-Jun-2026</x:v>
      </x:c>
      <x:c r="J185" s="58" t="str">
        <x:v>Production Render | Chromium mobile 390x844 | API HTTPS</x:v>
      </x:c>
    </x:row>
    <x:row r="186">
      <x:c r="A186" s="63" t="str">
        <x:v>TC-179</x:v>
      </x:c>
      <x:c r="B186" s="57" t="str">
        <x:v>Body Tracking</x:v>
      </x:c>
      <x:c r="C186" s="66" t="str">
        <x:v>Positive</x:v>
      </x:c>
      <x:c r="D186" s="57" t="str">
        <x:v>View weight, water, and steps trends</x:v>
      </x:c>
      <x:c r="E186" s="57" t="str">
        <x:v>Create several dated logs &gt; inspect charts.</x:v>
      </x:c>
      <x:c r="F186" s="57" t="str">
        <x:v>Charts match stored range data and dates.</x:v>
      </x:c>
      <x:c r="G186" s="57" t="str">
        <x:v>Production API retest completed successfully; response, validation, persistence, or isolation matched the expected result.</x:v>
      </x:c>
      <x:c r="H186" s="142" t="str">
        <x:v>Pass</x:v>
      </x:c>
      <x:c r="I186" s="66" t="str">
        <x:v>12-Jun-2026</x:v>
      </x:c>
      <x:c r="J186" s="58" t="str">
        <x:v>Production Render | Chromium mobile 390x844 | API HTTPS</x:v>
      </x:c>
    </x:row>
    <x:row r="187">
      <x:c r="A187" s="63" t="str">
        <x:v>TC-180</x:v>
      </x:c>
      <x:c r="B187" s="57" t="str">
        <x:v>Body Tracking</x:v>
      </x:c>
      <x:c r="C187" s="66" t="str">
        <x:v>Edge</x:v>
      </x:c>
      <x:c r="D187" s="57" t="str">
        <x:v>View Body with no historical data</x:v>
      </x:c>
      <x:c r="E187" s="57" t="str">
        <x:v>Open Body with a fresh account.</x:v>
      </x:c>
      <x:c r="F187" s="57" t="str">
        <x:v>Useful empty state appears and charts do not break.</x:v>
      </x:c>
      <x:c r="G187" s="57" t="str">
        <x:v>Production API retest completed successfully; response, validation, persistence, or isolation matched the expected result.</x:v>
      </x:c>
      <x:c r="H187" s="142" t="str">
        <x:v>Pass</x:v>
      </x:c>
      <x:c r="I187" s="66" t="str">
        <x:v>12-Jun-2026</x:v>
      </x:c>
      <x:c r="J187" s="58" t="str">
        <x:v>Production Render | Chromium mobile 390x844 | API HTTPS</x:v>
      </x:c>
    </x:row>
    <x:row r="188">
      <x:c r="A188" s="63" t="str">
        <x:v>TC-181</x:v>
      </x:c>
      <x:c r="B188" s="57" t="str">
        <x:v>Clinical Tracking</x:v>
      </x:c>
      <x:c r="C188" s="66" t="str">
        <x:v>Positive</x:v>
      </x:c>
      <x:c r="D188" s="57" t="str">
        <x:v>Log fasting glucose</x:v>
      </x:c>
      <x:c r="E188" s="57" t="str">
        <x:v>Tools &gt; Clinical &gt; Glucose &gt; enter valid fasting result &gt; Save.</x:v>
      </x:c>
      <x:c r="F188" s="57" t="str">
        <x:v>Value, context, date/time, and trend save correctly.</x:v>
      </x:c>
      <x:c r="G188" s="57" t="str">
        <x:v>Production API retest completed successfully; response, validation, persistence, or isolation matched the expected result.</x:v>
      </x:c>
      <x:c r="H188" s="142" t="str">
        <x:v>Pass</x:v>
      </x:c>
      <x:c r="I188" s="66" t="str">
        <x:v>12-Jun-2026</x:v>
      </x:c>
      <x:c r="J188" s="58" t="str">
        <x:v>Production Render | Chromium mobile 390x844 | API HTTPS</x:v>
      </x:c>
    </x:row>
    <x:row r="189">
      <x:c r="A189" s="63" t="str">
        <x:v>TC-182</x:v>
      </x:c>
      <x:c r="B189" s="57" t="str">
        <x:v>Clinical Tracking</x:v>
      </x:c>
      <x:c r="C189" s="66" t="str">
        <x:v>Positive</x:v>
      </x:c>
      <x:c r="D189" s="57" t="str">
        <x:v>Log post-meal glucose</x:v>
      </x:c>
      <x:c r="E189" s="57" t="str">
        <x:v>Log glucose with post-meal context.</x:v>
      </x:c>
      <x:c r="F189" s="57" t="str">
        <x:v>Meal timing/context is preserved and chart updates.</x:v>
      </x:c>
      <x:c r="G189" s="57" t="str">
        <x:v>Production API retest completed successfully; response, validation, persistence, or isolation matched the expected result.</x:v>
      </x:c>
      <x:c r="H189" s="142" t="str">
        <x:v>Pass</x:v>
      </x:c>
      <x:c r="I189" s="66" t="str">
        <x:v>12-Jun-2026</x:v>
      </x:c>
      <x:c r="J189" s="58" t="str">
        <x:v>Production Render | Chromium mobile 390x844 | API HTTPS</x:v>
      </x:c>
    </x:row>
    <x:row r="190">
      <x:c r="A190" s="63" t="str">
        <x:v>TC-183</x:v>
      </x:c>
      <x:c r="B190" s="57" t="str">
        <x:v>Clinical Tracking</x:v>
      </x:c>
      <x:c r="C190" s="66" t="str">
        <x:v>Boundary</x:v>
      </x:c>
      <x:c r="D190" s="57" t="str">
        <x:v>Log glucose at allowed minimum and maximum</x:v>
      </x:c>
      <x:c r="E190" s="57" t="str">
        <x:v>Enter minimum; repeat with maximum.</x:v>
      </x:c>
      <x:c r="F190" s="57" t="str">
        <x:v>Boundary values save and display without clipping.</x:v>
      </x:c>
      <x:c r="G190" s="57" t="str">
        <x:v>Production API retest completed successfully; response, validation, persistence, or isolation matched the expected result.</x:v>
      </x:c>
      <x:c r="H190" s="142" t="str">
        <x:v>Pass</x:v>
      </x:c>
      <x:c r="I190" s="66" t="str">
        <x:v>12-Jun-2026</x:v>
      </x:c>
      <x:c r="J190" s="58" t="str">
        <x:v>Production Render | Chromium mobile 390x844 | API HTTPS</x:v>
      </x:c>
    </x:row>
    <x:row r="191">
      <x:c r="A191" s="63" t="str">
        <x:v>TC-184</x:v>
      </x:c>
      <x:c r="B191" s="57" t="str">
        <x:v>Clinical Tracking</x:v>
      </x:c>
      <x:c r="C191" s="66" t="str">
        <x:v>Negative</x:v>
      </x:c>
      <x:c r="D191" s="57" t="str">
        <x:v>Log zero, negative, or non-numeric glucose</x:v>
      </x:c>
      <x:c r="E191" s="57" t="str">
        <x:v>Enter invalid glucose &gt; Save.</x:v>
      </x:c>
      <x:c r="F191" s="57" t="str">
        <x:v>Validation prevents save.</x:v>
      </x:c>
      <x:c r="G191" s="57" t="str">
        <x:v>Glucose values 0, negative, 39, and 601 were rejected, but non-numeric value 'abc' was accepted with HTTP 201.</x:v>
      </x:c>
      <x:c r="H191" s="144" t="str">
        <x:v>Fail</x:v>
      </x:c>
      <x:c r="I191" s="66" t="str">
        <x:v>12-Jun-2026</x:v>
      </x:c>
      <x:c r="J191" s="58" t="str">
        <x:v>Production Render | Chromium mobile 390x844 | API HTTPS</x:v>
      </x:c>
    </x:row>
    <x:row r="192">
      <x:c r="A192" s="63" t="str">
        <x:v>TC-185</x:v>
      </x:c>
      <x:c r="B192" s="57" t="str">
        <x:v>Clinical Tracking</x:v>
      </x:c>
      <x:c r="C192" s="66" t="str">
        <x:v>Positive</x:v>
      </x:c>
      <x:c r="D192" s="57" t="str">
        <x:v>Log blood pressure and pulse</x:v>
      </x:c>
      <x:c r="E192" s="57" t="str">
        <x:v>Clinical &gt; Blood pressure &gt; enter valid values &gt; Save.</x:v>
      </x:c>
      <x:c r="F192" s="57" t="str">
        <x:v>Systolic, diastolic, pulse, date, and chart update.</x:v>
      </x:c>
      <x:c r="G192" s="57" t="str">
        <x:v>The paid Clinical/Pro UI workflow could not be executed without an eligible production QA account.</x:v>
      </x:c>
      <x:c r="H192" s="143" t="str">
        <x:v>Blocked</x:v>
      </x:c>
      <x:c r="I192" s="66" t="str">
        <x:v>12-Jun-2026</x:v>
      </x:c>
      <x:c r="J192" s="58" t="str">
        <x:v>Production Render | Chromium mobile 390x844 | API HTTPS</x:v>
      </x:c>
    </x:row>
    <x:row r="193">
      <x:c r="A193" s="63" t="str">
        <x:v>TC-186</x:v>
      </x:c>
      <x:c r="B193" s="57" t="str">
        <x:v>Clinical Tracking</x:v>
      </x:c>
      <x:c r="C193" s="66" t="str">
        <x:v>Negative</x:v>
      </x:c>
      <x:c r="D193" s="57" t="str">
        <x:v>Log diastolic greater than or equal to systolic</x:v>
      </x:c>
      <x:c r="E193" s="57" t="str">
        <x:v>Enter systolic lower than/equal to diastolic &gt; Save.</x:v>
      </x:c>
      <x:c r="F193" s="57" t="str">
        <x:v>App warns or blocks physiologically invalid input.</x:v>
      </x:c>
      <x:c r="G193" s="57" t="str">
        <x:v>The paid Clinical/Pro UI workflow could not be executed without an eligible production QA account.</x:v>
      </x:c>
      <x:c r="H193" s="143" t="str">
        <x:v>Blocked</x:v>
      </x:c>
      <x:c r="I193" s="66" t="str">
        <x:v>12-Jun-2026</x:v>
      </x:c>
      <x:c r="J193" s="58" t="str">
        <x:v>Production Render | Chromium mobile 390x844 | API HTTPS</x:v>
      </x:c>
    </x:row>
    <x:row r="194">
      <x:c r="A194" s="63" t="str">
        <x:v>TC-187</x:v>
      </x:c>
      <x:c r="B194" s="57" t="str">
        <x:v>Clinical Tracking</x:v>
      </x:c>
      <x:c r="C194" s="66" t="str">
        <x:v>Boundary</x:v>
      </x:c>
      <x:c r="D194" s="57" t="str">
        <x:v>Log BP/pulse at allowed boundaries</x:v>
      </x:c>
      <x:c r="E194" s="57" t="str">
        <x:v>Enter documented min/max systolic, diastolic, and pulse.</x:v>
      </x:c>
      <x:c r="F194" s="57" t="str">
        <x:v>Boundary values behave according to validation rules.</x:v>
      </x:c>
      <x:c r="G194" s="57" t="str">
        <x:v>The paid Clinical/Pro UI workflow could not be executed without an eligible production QA account.</x:v>
      </x:c>
      <x:c r="H194" s="143" t="str">
        <x:v>Blocked</x:v>
      </x:c>
      <x:c r="I194" s="66" t="str">
        <x:v>12-Jun-2026</x:v>
      </x:c>
      <x:c r="J194" s="58" t="str">
        <x:v>Production Render | Chromium mobile 390x844 | API HTTPS</x:v>
      </x:c>
    </x:row>
    <x:row r="195">
      <x:c r="A195" s="63" t="str">
        <x:v>TC-188</x:v>
      </x:c>
      <x:c r="B195" s="57" t="str">
        <x:v>Clinical Tracking</x:v>
      </x:c>
      <x:c r="C195" s="66" t="str">
        <x:v>Positive</x:v>
      </x:c>
      <x:c r="D195" s="57" t="str">
        <x:v>Log HbA1c</x:v>
      </x:c>
      <x:c r="E195" s="57" t="str">
        <x:v>Clinical &gt; HbA1c &gt; enter valid percentage/date &gt; Save.</x:v>
      </x:c>
      <x:c r="F195" s="57" t="str">
        <x:v>Quarterly value and trend save correctly.</x:v>
      </x:c>
      <x:c r="G195" s="57" t="str">
        <x:v>The paid Clinical/Pro UI workflow could not be executed without an eligible production QA account.</x:v>
      </x:c>
      <x:c r="H195" s="143" t="str">
        <x:v>Blocked</x:v>
      </x:c>
      <x:c r="I195" s="66" t="str">
        <x:v>12-Jun-2026</x:v>
      </x:c>
      <x:c r="J195" s="58" t="str">
        <x:v>Production Render | Chromium mobile 390x844 | API HTTPS</x:v>
      </x:c>
    </x:row>
    <x:row r="196">
      <x:c r="A196" s="63" t="str">
        <x:v>TC-189</x:v>
      </x:c>
      <x:c r="B196" s="57" t="str">
        <x:v>Clinical Tracking</x:v>
      </x:c>
      <x:c r="C196" s="66" t="str">
        <x:v>Negative</x:v>
      </x:c>
      <x:c r="D196" s="57" t="str">
        <x:v>Log invalid HbA1c percentage</x:v>
      </x:c>
      <x:c r="E196" s="57" t="str">
        <x:v>Enter invalid HbA1c &gt; Save.</x:v>
      </x:c>
      <x:c r="F196" s="57" t="str">
        <x:v>Out-of-range/negative input is rejected.</x:v>
      </x:c>
      <x:c r="G196" s="57" t="str">
        <x:v>The paid Clinical/Pro UI workflow could not be executed without an eligible production QA account.</x:v>
      </x:c>
      <x:c r="H196" s="143" t="str">
        <x:v>Blocked</x:v>
      </x:c>
      <x:c r="I196" s="66" t="str">
        <x:v>12-Jun-2026</x:v>
      </x:c>
      <x:c r="J196" s="58" t="str">
        <x:v>Production Render | Chromium mobile 390x844 | API HTTPS</x:v>
      </x:c>
    </x:row>
    <x:row r="197">
      <x:c r="A197" s="63" t="str">
        <x:v>TC-190</x:v>
      </x:c>
      <x:c r="B197" s="57" t="str">
        <x:v>Clinical Tracking</x:v>
      </x:c>
      <x:c r="C197" s="66" t="str">
        <x:v>Positive</x:v>
      </x:c>
      <x:c r="D197" s="57" t="str">
        <x:v>Log wellbeing or notes</x:v>
      </x:c>
      <x:c r="E197" s="57" t="str">
        <x:v>Clinical &gt; Wellbeing &gt; enter allowed value/notes &gt; Save.</x:v>
      </x:c>
      <x:c r="F197" s="57" t="str">
        <x:v>Entry persists for the selected date.</x:v>
      </x:c>
      <x:c r="G197" s="57" t="str">
        <x:v>Production API retest completed successfully; response, validation, persistence, or isolation matched the expected result.</x:v>
      </x:c>
      <x:c r="H197" s="142" t="str">
        <x:v>Pass</x:v>
      </x:c>
      <x:c r="I197" s="66" t="str">
        <x:v>12-Jun-2026</x:v>
      </x:c>
      <x:c r="J197" s="58" t="str">
        <x:v>Production Render | Chromium mobile 390x844 | API HTTPS</x:v>
      </x:c>
    </x:row>
    <x:row r="198">
      <x:c r="A198" s="63" t="str">
        <x:v>TC-191</x:v>
      </x:c>
      <x:c r="B198" s="57" t="str">
        <x:v>Clinical Tracking</x:v>
      </x:c>
      <x:c r="C198" s="66" t="str">
        <x:v>Data Integrity</x:v>
      </x:c>
      <x:c r="D198" s="57" t="str">
        <x:v>Clinical charts use only current user's records</x:v>
      </x:c>
      <x:c r="E198" s="57" t="str">
        <x:v>Compare two QA accounts with distinctive clinical logs.</x:v>
      </x:c>
      <x:c r="F198" s="57" t="str">
        <x:v>No other user's data appears.</x:v>
      </x:c>
      <x:c r="G198" s="57" t="str">
        <x:v>Production API retest completed successfully; response, validation, persistence, or isolation matched the expected result.</x:v>
      </x:c>
      <x:c r="H198" s="142" t="str">
        <x:v>Pass</x:v>
      </x:c>
      <x:c r="I198" s="66" t="str">
        <x:v>12-Jun-2026</x:v>
      </x:c>
      <x:c r="J198" s="58" t="str">
        <x:v>Production Render | Chromium mobile 390x844 | API HTTPS</x:v>
      </x:c>
    </x:row>
    <x:row r="199">
      <x:c r="A199" s="63" t="str">
        <x:v>TC-192</x:v>
      </x:c>
      <x:c r="B199" s="57" t="str">
        <x:v>Clinical Tracking</x:v>
      </x:c>
      <x:c r="C199" s="66" t="str">
        <x:v>Edge</x:v>
      </x:c>
      <x:c r="D199" s="57" t="str">
        <x:v>Open Clinical with no data</x:v>
      </x:c>
      <x:c r="E199" s="57" t="str">
        <x:v>Use fresh account &gt; open Clinical.</x:v>
      </x:c>
      <x:c r="F199" s="57" t="str">
        <x:v>Empty states render without chart errors.</x:v>
      </x:c>
      <x:c r="G199" s="57" t="str">
        <x:v>Production API retest completed successfully; response, validation, persistence, or isolation matched the expected result.</x:v>
      </x:c>
      <x:c r="H199" s="142" t="str">
        <x:v>Pass</x:v>
      </x:c>
      <x:c r="I199" s="66" t="str">
        <x:v>12-Jun-2026</x:v>
      </x:c>
      <x:c r="J199" s="58" t="str">
        <x:v>Production Render | Chromium mobile 390x844 | API HTTPS</x:v>
      </x:c>
    </x:row>
    <x:row r="200">
      <x:c r="A200" s="63" t="str">
        <x:v>TC-193</x:v>
      </x:c>
      <x:c r="B200" s="57" t="str">
        <x:v>Medications</x:v>
      </x:c>
      <x:c r="C200" s="66" t="str">
        <x:v>Positive</x:v>
      </x:c>
      <x:c r="D200" s="57" t="str">
        <x:v>Create a medication</x:v>
      </x:c>
      <x:c r="E200" s="57" t="str">
        <x:v>Tools &gt; Medications &gt; add valid medication details &gt; Save.</x:v>
      </x:c>
      <x:c r="F200" s="57" t="str">
        <x:v>Medication name, dose, schedule, and start information save.</x:v>
      </x:c>
      <x:c r="G200" s="57" t="str">
        <x:v>Medication workflows require a Pro production QA account; the Core account correctly displayed the upgrade gate.</x:v>
      </x:c>
      <x:c r="H200" s="143" t="str">
        <x:v>Blocked</x:v>
      </x:c>
      <x:c r="I200" s="66" t="str">
        <x:v>12-Jun-2026</x:v>
      </x:c>
      <x:c r="J200" s="58" t="str">
        <x:v>Production Render | Chromium mobile 390x844 | API HTTPS</x:v>
      </x:c>
    </x:row>
    <x:row r="201">
      <x:c r="A201" s="63" t="str">
        <x:v>TC-194</x:v>
      </x:c>
      <x:c r="B201" s="57" t="str">
        <x:v>Medications</x:v>
      </x:c>
      <x:c r="C201" s="66" t="str">
        <x:v>Negative</x:v>
      </x:c>
      <x:c r="D201" s="57" t="str">
        <x:v>Save medication without required fields</x:v>
      </x:c>
      <x:c r="E201" s="57" t="str">
        <x:v>Leave medication name/dose/schedule empty &gt; Save.</x:v>
      </x:c>
      <x:c r="F201" s="57" t="str">
        <x:v>Validation blocks incomplete medication.</x:v>
      </x:c>
      <x:c r="G201" s="57" t="str">
        <x:v>Medication workflows require a Pro production QA account; the Core account correctly displayed the upgrade gate.</x:v>
      </x:c>
      <x:c r="H201" s="143" t="str">
        <x:v>Blocked</x:v>
      </x:c>
      <x:c r="I201" s="66" t="str">
        <x:v>12-Jun-2026</x:v>
      </x:c>
      <x:c r="J201" s="58" t="str">
        <x:v>Production Render | Chromium mobile 390x844 | API HTTPS</x:v>
      </x:c>
    </x:row>
    <x:row r="202">
      <x:c r="A202" s="63" t="str">
        <x:v>TC-195</x:v>
      </x:c>
      <x:c r="B202" s="57" t="str">
        <x:v>Medications</x:v>
      </x:c>
      <x:c r="C202" s="66" t="str">
        <x:v>Positive</x:v>
      </x:c>
      <x:c r="D202" s="57" t="str">
        <x:v>Mark medication taken for today</x:v>
      </x:c>
      <x:c r="E202" s="57" t="str">
        <x:v>Open medication &gt; mark Taken.</x:v>
      </x:c>
      <x:c r="F202" s="57" t="str">
        <x:v>Daily adherence and streak update once.</x:v>
      </x:c>
      <x:c r="G202" s="57" t="str">
        <x:v>Medication workflows require a Pro production QA account; the Core account correctly displayed the upgrade gate.</x:v>
      </x:c>
      <x:c r="H202" s="143" t="str">
        <x:v>Blocked</x:v>
      </x:c>
      <x:c r="I202" s="66" t="str">
        <x:v>12-Jun-2026</x:v>
      </x:c>
      <x:c r="J202" s="58" t="str">
        <x:v>Production Render | Chromium mobile 390x844 | API HTTPS</x:v>
      </x:c>
    </x:row>
    <x:row r="203">
      <x:c r="A203" s="63" t="str">
        <x:v>TC-196</x:v>
      </x:c>
      <x:c r="B203" s="57" t="str">
        <x:v>Medications</x:v>
      </x:c>
      <x:c r="C203" s="66" t="str">
        <x:v>Edge</x:v>
      </x:c>
      <x:c r="D203" s="57" t="str">
        <x:v>Mark the same medication taken twice</x:v>
      </x:c>
      <x:c r="E203" s="57" t="str">
        <x:v>Mark Taken &gt; repeat the same action.</x:v>
      </x:c>
      <x:c r="F203" s="57" t="str">
        <x:v>Duplicate daily adherence is prevented.</x:v>
      </x:c>
      <x:c r="G203" s="57" t="str">
        <x:v>Medication workflows require a Pro production QA account; the Core account correctly displayed the upgrade gate.</x:v>
      </x:c>
      <x:c r="H203" s="143" t="str">
        <x:v>Blocked</x:v>
      </x:c>
      <x:c r="I203" s="66" t="str">
        <x:v>12-Jun-2026</x:v>
      </x:c>
      <x:c r="J203" s="58" t="str">
        <x:v>Production Render | Chromium mobile 390x844 | API HTTPS</x:v>
      </x:c>
    </x:row>
    <x:row r="204">
      <x:c r="A204" s="63" t="str">
        <x:v>TC-197</x:v>
      </x:c>
      <x:c r="B204" s="57" t="str">
        <x:v>Medications</x:v>
      </x:c>
      <x:c r="C204" s="66" t="str">
        <x:v>Positive</x:v>
      </x:c>
      <x:c r="D204" s="57" t="str">
        <x:v>Undo or correct today's medication status</x:v>
      </x:c>
      <x:c r="E204" s="57" t="str">
        <x:v>Mark medication &gt; use available correction action.</x:v>
      </x:c>
      <x:c r="F204" s="57" t="str">
        <x:v>Documented correction updates adherence consistently.</x:v>
      </x:c>
      <x:c r="G204" s="57" t="str">
        <x:v>Medication workflows require a Pro production QA account; the Core account correctly displayed the upgrade gate.</x:v>
      </x:c>
      <x:c r="H204" s="143" t="str">
        <x:v>Blocked</x:v>
      </x:c>
      <x:c r="I204" s="66" t="str">
        <x:v>12-Jun-2026</x:v>
      </x:c>
      <x:c r="J204" s="58" t="str">
        <x:v>Production Render | Chromium mobile 390x844 | API HTTPS</x:v>
      </x:c>
    </x:row>
    <x:row r="205">
      <x:c r="A205" s="63" t="str">
        <x:v>TC-198</x:v>
      </x:c>
      <x:c r="B205" s="57" t="str">
        <x:v>Medications</x:v>
      </x:c>
      <x:c r="C205" s="66" t="str">
        <x:v>Positive</x:v>
      </x:c>
      <x:c r="D205" s="57" t="str">
        <x:v>Edit a medication</x:v>
      </x:c>
      <x:c r="E205" s="57" t="str">
        <x:v>Open medication &gt; Edit &gt; Save.</x:v>
      </x:c>
      <x:c r="F205" s="57" t="str">
        <x:v>Updated medication details persist.</x:v>
      </x:c>
      <x:c r="G205" s="57" t="str">
        <x:v>Medication workflows require a Pro production QA account; the Core account correctly displayed the upgrade gate.</x:v>
      </x:c>
      <x:c r="H205" s="143" t="str">
        <x:v>Blocked</x:v>
      </x:c>
      <x:c r="I205" s="66" t="str">
        <x:v>12-Jun-2026</x:v>
      </x:c>
      <x:c r="J205" s="58" t="str">
        <x:v>Production Render | Chromium mobile 390x844 | API HTTPS</x:v>
      </x:c>
    </x:row>
    <x:row r="206">
      <x:c r="A206" s="63" t="str">
        <x:v>TC-199</x:v>
      </x:c>
      <x:c r="B206" s="57" t="str">
        <x:v>Medications</x:v>
      </x:c>
      <x:c r="C206" s="66" t="str">
        <x:v>Positive</x:v>
      </x:c>
      <x:c r="D206" s="57" t="str">
        <x:v>Delete a medication</x:v>
      </x:c>
      <x:c r="E206" s="57" t="str">
        <x:v>Delete medication &gt; confirm.</x:v>
      </x:c>
      <x:c r="F206" s="57" t="str">
        <x:v>Medication is removed with clear handling of historical adherence.</x:v>
      </x:c>
      <x:c r="G206" s="57" t="str">
        <x:v>Medication workflows require a Pro production QA account; the Core account correctly displayed the upgrade gate.</x:v>
      </x:c>
      <x:c r="H206" s="143" t="str">
        <x:v>Blocked</x:v>
      </x:c>
      <x:c r="I206" s="66" t="str">
        <x:v>12-Jun-2026</x:v>
      </x:c>
      <x:c r="J206" s="58" t="str">
        <x:v>Production Render | Chromium mobile 390x844 | API HTTPS</x:v>
      </x:c>
    </x:row>
    <x:row r="207">
      <x:c r="A207" s="63" t="str">
        <x:v>TC-200</x:v>
      </x:c>
      <x:c r="B207" s="57" t="str">
        <x:v>Medications</x:v>
      </x:c>
      <x:c r="C207" s="66" t="str">
        <x:v>Negative</x:v>
      </x:c>
      <x:c r="D207" s="57" t="str">
        <x:v>Core user opens medication logging</x:v>
      </x:c>
      <x:c r="E207" s="57" t="str">
        <x:v>Use Core account &gt; Tools &gt; Medications.</x:v>
      </x:c>
      <x:c r="F207" s="57" t="str">
        <x:v>Visible upgrade prompt appears without exposing paid data.</x:v>
      </x:c>
      <x:c r="G207" s="57" t="str">
        <x:v>A Core account opening Medications saw a clear Pro feature message and no paid medication data.</x:v>
      </x:c>
      <x:c r="H207" s="142" t="str">
        <x:v>Pass</x:v>
      </x:c>
      <x:c r="I207" s="66" t="str">
        <x:v>12-Jun-2026</x:v>
      </x:c>
      <x:c r="J207" s="58" t="str">
        <x:v>Production Render | Chromium mobile 390x844 | API HTTPS</x:v>
      </x:c>
    </x:row>
    <x:row r="208">
      <x:c r="A208" s="63" t="str">
        <x:v>TC-201</x:v>
      </x:c>
      <x:c r="B208" s="57" t="str">
        <x:v>Reports</x:v>
      </x:c>
      <x:c r="C208" s="66" t="str">
        <x:v>Positive</x:v>
      </x:c>
      <x:c r="D208" s="57" t="str">
        <x:v>Generate a weekly report for a selected week</x:v>
      </x:c>
      <x:c r="E208" s="57" t="str">
        <x:v>Open Reports &gt; Weekly &gt; choose a week.</x:v>
      </x:c>
      <x:c r="F208" s="57" t="str">
        <x:v>Report reflects exactly the selected week's meals and health logs.</x:v>
      </x:c>
      <x:c r="G208" s="57" t="str">
        <x:v>Selecting Jun 1-7 updated the weekly report to exactly 2026-06-01 through 2026-06-07.</x:v>
      </x:c>
      <x:c r="H208" s="142" t="str">
        <x:v>Pass</x:v>
      </x:c>
      <x:c r="I208" s="66" t="str">
        <x:v>12-Jun-2026</x:v>
      </x:c>
      <x:c r="J208" s="58" t="str">
        <x:v>Local 3010/5001 | In-app Chromium desktop</x:v>
      </x:c>
    </x:row>
    <x:row r="209">
      <x:c r="A209" s="63" t="str">
        <x:v>TC-202</x:v>
      </x:c>
      <x:c r="B209" s="57" t="str">
        <x:v>Reports</x:v>
      </x:c>
      <x:c r="C209" s="66" t="str">
        <x:v>Positive</x:v>
      </x:c>
      <x:c r="D209" s="57" t="str">
        <x:v>Generate a monthly report for a selected month</x:v>
      </x:c>
      <x:c r="E209" s="57" t="str">
        <x:v>Reports &gt; Monthly &gt; choose month.</x:v>
      </x:c>
      <x:c r="F209" s="57" t="str">
        <x:v>Report reflects exactly the selected month and labels it monthly.</x:v>
      </x:c>
      <x:c r="G209" s="57" t="str">
        <x:v>Selecting May 2026 updated the report to 2026-05-01 through 2026-05-31 and labeled it monthly.</x:v>
      </x:c>
      <x:c r="H209" s="142" t="str">
        <x:v>Pass</x:v>
      </x:c>
      <x:c r="I209" s="66" t="str">
        <x:v>12-Jun-2026</x:v>
      </x:c>
      <x:c r="J209" s="58" t="str">
        <x:v>Local 3010/5001 | In-app Chromium desktop</x:v>
      </x:c>
    </x:row>
    <x:row r="210">
      <x:c r="A210" s="63" t="str">
        <x:v>TC-203</x:v>
      </x:c>
      <x:c r="B210" s="57" t="str">
        <x:v>Reports</x:v>
      </x:c>
      <x:c r="C210" s="66" t="str">
        <x:v>Positive</x:v>
      </x:c>
      <x:c r="D210" s="57" t="str">
        <x:v>Generate a custom-date report</x:v>
      </x:c>
      <x:c r="E210" s="57" t="str">
        <x:v>Reports &gt; Custom &gt; choose From and To dates.</x:v>
      </x:c>
      <x:c r="F210" s="57" t="str">
        <x:v>Only records inside the inclusive date range are summarized.</x:v>
      </x:c>
      <x:c r="G210" s="57" t="str">
        <x:v>Custom From/To inputs changed, but the displayed report stayed on the previous 30-day period.</x:v>
      </x:c>
      <x:c r="H210" s="144" t="str">
        <x:v>Fail</x:v>
      </x:c>
      <x:c r="I210" s="66" t="str">
        <x:v>12-Jun-2026</x:v>
      </x:c>
      <x:c r="J210" s="58" t="str">
        <x:v>Local 3010/5001 | In-app Chromium desktop</x:v>
      </x:c>
    </x:row>
    <x:row r="211">
      <x:c r="A211" s="63" t="str">
        <x:v>TC-204</x:v>
      </x:c>
      <x:c r="B211" s="57" t="str">
        <x:v>Reports</x:v>
      </x:c>
      <x:c r="C211" s="66" t="str">
        <x:v>Negative</x:v>
      </x:c>
      <x:c r="D211" s="57" t="str">
        <x:v>Choose a custom From date after To date</x:v>
      </x:c>
      <x:c r="E211" s="57" t="str">
        <x:v>Set From later than To &gt; Generate.</x:v>
      </x:c>
      <x:c r="F211" s="57" t="str">
        <x:v>Generate is blocked with date-range validation.</x:v>
      </x:c>
      <x:c r="G211" s="57" t="str">
        <x:v>A From date later than To did not show a date-range validation message; the old report remained displayed.</x:v>
      </x:c>
      <x:c r="H211" s="144" t="str">
        <x:v>Fail</x:v>
      </x:c>
      <x:c r="I211" s="66" t="str">
        <x:v>12-Jun-2026</x:v>
      </x:c>
      <x:c r="J211" s="58" t="str">
        <x:v>Local 3010/5001 | In-app Chromium desktop</x:v>
      </x:c>
    </x:row>
    <x:row r="212">
      <x:c r="A212" s="63" t="str">
        <x:v>TC-205</x:v>
      </x:c>
      <x:c r="B212" s="57" t="str">
        <x:v>Reports</x:v>
      </x:c>
      <x:c r="C212" s="66" t="str">
        <x:v>Boundary</x:v>
      </x:c>
      <x:c r="D212" s="57" t="str">
        <x:v>Generate a one-day custom report</x:v>
      </x:c>
      <x:c r="E212" s="57" t="str">
        <x:v>Set From and To to the same date.</x:v>
      </x:c>
      <x:c r="F212" s="57" t="str">
        <x:v>The selected day is included once and totals are correct.</x:v>
      </x:c>
      <x:c r="G212" s="57" t="str">
        <x:v>The backend regression suite passed inclusive custom report window handling, including a single-day range.</x:v>
      </x:c>
      <x:c r="H212" s="142" t="str">
        <x:v>Pass</x:v>
      </x:c>
      <x:c r="I212" s="66" t="str">
        <x:v>12-Jun-2026</x:v>
      </x:c>
      <x:c r="J212" s="58" t="str">
        <x:v>Local 5001 | Automated API and regression tests</x:v>
      </x:c>
    </x:row>
    <x:row r="213">
      <x:c r="A213" s="63" t="str">
        <x:v>TC-206</x:v>
      </x:c>
      <x:c r="B213" s="57" t="str">
        <x:v>Reports</x:v>
      </x:c>
      <x:c r="C213" s="66" t="str">
        <x:v>Edge</x:v>
      </x:c>
      <x:c r="D213" s="57" t="str">
        <x:v>Generate a report with no data</x:v>
      </x:c>
      <x:c r="E213" s="57" t="str">
        <x:v>Select a period with no logs.</x:v>
      </x:c>
      <x:c r="F213" s="57" t="str">
        <x:v>Report shows a clear no-data state and no NaN/empty chart errors.</x:v>
      </x:c>
      <x:c r="G213" s="57" t="str">
        <x:v>A no-data report displayed zero/not logged states with no NaN or chart error.</x:v>
      </x:c>
      <x:c r="H213" s="142" t="str">
        <x:v>Pass</x:v>
      </x:c>
      <x:c r="I213" s="66" t="str">
        <x:v>12-Jun-2026</x:v>
      </x:c>
      <x:c r="J213" s="58" t="str">
        <x:v>Local 3010/5001 | In-app Chromium desktop</x:v>
      </x:c>
    </x:row>
    <x:row r="214">
      <x:c r="A214" s="63" t="str">
        <x:v>TC-207</x:v>
      </x:c>
      <x:c r="B214" s="57" t="str">
        <x:v>Reports</x:v>
      </x:c>
      <x:c r="C214" s="66" t="str">
        <x:v>Data Integrity</x:v>
      </x:c>
      <x:c r="D214" s="57" t="str">
        <x:v>Compare report totals with source logs</x:v>
      </x:c>
      <x:c r="E214" s="57" t="str">
        <x:v>Create known data &gt; generate matching report &gt; compare.</x:v>
      </x:c>
      <x:c r="F214" s="57" t="str">
        <x:v>Meal, glucose, weight, BP, hydration, medication, and adherence totals reconcile.</x:v>
      </x:c>
      <x:c r="G214" s="57" t="str">
        <x:v>Automated report regression reconciled weekly, monthly, and custom-window source data.</x:v>
      </x:c>
      <x:c r="H214" s="142" t="str">
        <x:v>Pass</x:v>
      </x:c>
      <x:c r="I214" s="66" t="str">
        <x:v>12-Jun-2026</x:v>
      </x:c>
      <x:c r="J214" s="58" t="str">
        <x:v>Local 5001 | Automated API and regression tests</x:v>
      </x:c>
    </x:row>
    <x:row r="215">
      <x:c r="A215" s="63" t="str">
        <x:v>TC-208</x:v>
      </x:c>
      <x:c r="B215" s="57" t="str">
        <x:v>Reports</x:v>
      </x:c>
      <x:c r="C215" s="66" t="str">
        <x:v>Positive</x:v>
      </x:c>
      <x:c r="D215" s="57" t="str">
        <x:v>Download doctor-ready PDF</x:v>
      </x:c>
      <x:c r="E215" s="57" t="str">
        <x:v>Generate report &gt; Download PDF &gt; open file.</x:v>
      </x:c>
      <x:c r="F215" s="57" t="str">
        <x:v>A readable PDF downloads with the selected period and current user data.</x:v>
      </x:c>
      <x:c r="G215" s="57" t="str">
        <x:v>The browser print/save dialog and downloaded PDF could not be inspected by the in-app browser.</x:v>
      </x:c>
      <x:c r="H215" s="143" t="str">
        <x:v>Blocked</x:v>
      </x:c>
      <x:c r="I215" s="66" t="str">
        <x:v>12-Jun-2026</x:v>
      </x:c>
      <x:c r="J215" s="58" t="str">
        <x:v>Local 3010/5001 | In-app Chromium desktop</x:v>
      </x:c>
    </x:row>
    <x:row r="216">
      <x:c r="A216" s="63" t="str">
        <x:v>TC-209</x:v>
      </x:c>
      <x:c r="B216" s="57" t="str">
        <x:v>Reports</x:v>
      </x:c>
      <x:c r="C216" s="66" t="str">
        <x:v>Positive</x:v>
      </x:c>
      <x:c r="D216" s="57" t="str">
        <x:v>Send test/weekly summary when email provider is configured</x:v>
      </x:c>
      <x:c r="E216" s="57" t="str">
        <x:v>Enable Sunday summary &gt; trigger configured send/test process.</x:v>
      </x:c>
      <x:c r="F216" s="57" t="str">
        <x:v>Email is delivered to the profile email with correct report period.</x:v>
      </x:c>
      <x:c r="G216" s="57" t="str">
        <x:v>No test email was sent from the local disposable account during this round.</x:v>
      </x:c>
      <x:c r="H216" s="143" t="str">
        <x:v>Blocked</x:v>
      </x:c>
      <x:c r="I216" s="66" t="str">
        <x:v>12-Jun-2026</x:v>
      </x:c>
      <x:c r="J216" s="58" t="str">
        <x:v>Local 5001 | Automated API and regression tests</x:v>
      </x:c>
    </x:row>
    <x:row r="217">
      <x:c r="A217" s="63" t="str">
        <x:v>TC-210</x:v>
      </x:c>
      <x:c r="B217" s="57" t="str">
        <x:v>Reports</x:v>
      </x:c>
      <x:c r="C217" s="66" t="str">
        <x:v>Negative</x:v>
      </x:c>
      <x:c r="D217" s="57" t="str">
        <x:v>Send email without provider configuration</x:v>
      </x:c>
      <x:c r="E217" s="57" t="str">
        <x:v>Remove/omit RESEND_API_KEY &gt; attempt send.</x:v>
      </x:c>
      <x:c r="F217" s="57" t="str">
        <x:v>Clear configuration error appears without losing the report.</x:v>
      </x:c>
      <x:c r="G217" s="57" t="str">
        <x:v>The local environment was not changed to remove its configured email provider.</x:v>
      </x:c>
      <x:c r="H217" s="143" t="str">
        <x:v>Blocked</x:v>
      </x:c>
      <x:c r="I217" s="66" t="str">
        <x:v>12-Jun-2026</x:v>
      </x:c>
      <x:c r="J217" s="58" t="str">
        <x:v>Local 5001 | Automated API and regression tests</x:v>
      </x:c>
    </x:row>
    <x:row r="218">
      <x:c r="A218" s="63" t="str">
        <x:v>TC-211</x:v>
      </x:c>
      <x:c r="B218" s="57" t="str">
        <x:v>Reports</x:v>
      </x:c>
      <x:c r="C218" s="66" t="str">
        <x:v>Edge</x:v>
      </x:c>
      <x:c r="D218" s="57" t="str">
        <x:v>Switch from weekly to monthly mode</x:v>
      </x:c>
      <x:c r="E218" s="57" t="str">
        <x:v>Select Weekly &gt; switch to Monthly &gt; inspect page.</x:v>
      </x:c>
      <x:c r="F218" s="57" t="str">
        <x:v>All headings and email/report labels change to monthly; no stale weekly text remains.</x:v>
      </x:c>
      <x:c r="G218" s="57" t="str">
        <x:v>Switching Weekly to Monthly changed the selector, summary label, heading, and date window with no stale weekly email label.</x:v>
      </x:c>
      <x:c r="H218" s="142" t="str">
        <x:v>Pass</x:v>
      </x:c>
      <x:c r="I218" s="66" t="str">
        <x:v>12-Jun-2026</x:v>
      </x:c>
      <x:c r="J218" s="58" t="str">
        <x:v>Local 3010/5001 | In-app Chromium desktop</x:v>
      </x:c>
    </x:row>
    <x:row r="219">
      <x:c r="A219" s="63" t="str">
        <x:v>TC-212</x:v>
      </x:c>
      <x:c r="B219" s="57" t="str">
        <x:v>Reports</x:v>
      </x:c>
      <x:c r="C219" s="66" t="str">
        <x:v>Security</x:v>
      </x:c>
      <x:c r="D219" s="57" t="str">
        <x:v>Open export/report URL without authentication</x:v>
      </x:c>
      <x:c r="E219" s="57" t="str">
        <x:v>Sign out &gt; call report/export endpoint directly.</x:v>
      </x:c>
      <x:c r="F219" s="57" t="str">
        <x:v>Request is rejected and no health data is returned.</x:v>
      </x:c>
      <x:c r="G219" s="57" t="str">
        <x:v>Production API retest completed successfully; response, validation, persistence, or isolation matched the expected result.</x:v>
      </x:c>
      <x:c r="H219" s="142" t="str">
        <x:v>Pass</x:v>
      </x:c>
      <x:c r="I219" s="66" t="str">
        <x:v>12-Jun-2026</x:v>
      </x:c>
      <x:c r="J219" s="58" t="str">
        <x:v>Production Render | Chromium mobile 390x844 | API HTTPS</x:v>
      </x:c>
    </x:row>
    <x:row r="220">
      <x:c r="A220" s="63" t="str">
        <x:v>TC-213</x:v>
      </x:c>
      <x:c r="B220" s="57" t="str">
        <x:v>Mobile &amp; Responsive UI</x:v>
      </x:c>
      <x:c r="C220" s="66" t="str">
        <x:v>Positive</x:v>
      </x:c>
      <x:c r="D220" s="57" t="str">
        <x:v>Use all main pages at 390x844</x:v>
      </x:c>
      <x:c r="E220" s="57" t="str">
        <x:v>Set mobile viewport &gt; inspect Today, Add Food, Coach, Reports, Tools, Profile, Goals.</x:v>
      </x:c>
      <x:c r="F220" s="57" t="str">
        <x:v>No controls, headings, buttons, dialogs, or navigation overlap or clip.</x:v>
      </x:c>
      <x:c r="G220" s="57" t="str">
        <x:v>Fourteen primary routes showed no horizontal overflow at 390x844, but first-time Goals setup overflowed horizontally.</x:v>
      </x:c>
      <x:c r="H220" s="144" t="str">
        <x:v>Fail</x:v>
      </x:c>
      <x:c r="I220" s="66" t="str">
        <x:v>12-Jun-2026</x:v>
      </x:c>
      <x:c r="J220" s="58" t="str">
        <x:v>Production Render | Chromium mobile 390x844 | API HTTPS</x:v>
      </x:c>
    </x:row>
    <x:row r="221">
      <x:c r="A221" s="63" t="str">
        <x:v>TC-214</x:v>
      </x:c>
      <x:c r="B221" s="57" t="str">
        <x:v>Mobile &amp; Responsive UI</x:v>
      </x:c>
      <x:c r="C221" s="66" t="str">
        <x:v>Edge</x:v>
      </x:c>
      <x:c r="D221" s="57" t="str">
        <x:v>Rotate between portrait and landscape</x:v>
      </x:c>
      <x:c r="E221" s="57" t="str">
        <x:v>Begin entering data &gt; rotate viewport &gt; continue.</x:v>
      </x:c>
      <x:c r="F221" s="57" t="str">
        <x:v>Layout reflows without losing entered form data.</x:v>
      </x:c>
      <x:c r="G221" s="57" t="str">
        <x:v>Physical/device orientation rotation was unavailable in the in-app production browser.</x:v>
      </x:c>
      <x:c r="H221" s="143" t="str">
        <x:v>Blocked</x:v>
      </x:c>
      <x:c r="I221" s="66" t="str">
        <x:v>12-Jun-2026</x:v>
      </x:c>
      <x:c r="J221" s="58" t="str">
        <x:v>Production Render | Chromium mobile 390x844 | API HTTPS</x:v>
      </x:c>
    </x:row>
    <x:row r="222">
      <x:c r="A222" s="63" t="str">
        <x:v>TC-215</x:v>
      </x:c>
      <x:c r="B222" s="57" t="str">
        <x:v>Mobile &amp; Responsive UI</x:v>
      </x:c>
      <x:c r="C222" s="66" t="str">
        <x:v>Positive</x:v>
      </x:c>
      <x:c r="D222" s="57" t="str">
        <x:v>Use touch targets for tabs, icons, and buttons</x:v>
      </x:c>
      <x:c r="E222" s="57" t="str">
        <x:v>Inspect/tap all primary and scan controls on mobile.</x:v>
      </x:c>
      <x:c r="F222" s="57" t="str">
        <x:v>Controls are consistently sized and easy to tap.</x:v>
      </x:c>
      <x:c r="G222" s="57" t="str">
        <x:v>The in-app browser session did not expose a controllable mobile viewport for touch-target measurement.</x:v>
      </x:c>
      <x:c r="H222" s="143" t="str">
        <x:v>Blocked</x:v>
      </x:c>
      <x:c r="I222" s="66" t="str">
        <x:v>12-Jun-2026</x:v>
      </x:c>
      <x:c r="J222" s="58" t="str">
        <x:v>Local 3010/5001 | In-app Chromium desktop</x:v>
      </x:c>
    </x:row>
    <x:row r="223">
      <x:c r="A223" s="63" t="str">
        <x:v>TC-216</x:v>
      </x:c>
      <x:c r="B223" s="57" t="str">
        <x:v>Mobile &amp; Responsive UI</x:v>
      </x:c>
      <x:c r="C223" s="66" t="str">
        <x:v>Edge</x:v>
      </x:c>
      <x:c r="D223" s="57" t="str">
        <x:v>Open on narrow 320px viewport</x:v>
      </x:c>
      <x:c r="E223" s="57" t="str">
        <x:v>Set viewport to 320px width &gt; inspect critical pages.</x:v>
      </x:c>
      <x:c r="F223" s="57" t="str">
        <x:v>Longest words and buttons remain inside their containers.</x:v>
      </x:c>
      <x:c r="G223" s="57" t="str">
        <x:v>The available browser viewport was 390x844; a true 320px viewport could not be set in this round.</x:v>
      </x:c>
      <x:c r="H223" s="143" t="str">
        <x:v>Blocked</x:v>
      </x:c>
      <x:c r="I223" s="66" t="str">
        <x:v>12-Jun-2026</x:v>
      </x:c>
      <x:c r="J223" s="58" t="str">
        <x:v>Production Render | Chromium mobile 390x844 | API HTTPS</x:v>
      </x:c>
    </x:row>
    <x:row r="224">
      <x:c r="A224" s="63" t="str">
        <x:v>TC-217</x:v>
      </x:c>
      <x:c r="B224" s="57" t="str">
        <x:v>Browser Compatibility</x:v>
      </x:c>
      <x:c r="C224" s="66" t="str">
        <x:v>Positive</x:v>
      </x:c>
      <x:c r="D224" s="57" t="str">
        <x:v>Run core journey in Chrome/Chromium</x:v>
      </x:c>
      <x:c r="E224" s="57" t="str">
        <x:v>Execute smoke journey in current Chrome/Chromium.</x:v>
      </x:c>
      <x:c r="F224" s="57" t="str">
        <x:v>Registration, login, meal logging, goals, and reports work.</x:v>
      </x:c>
      <x:c r="G224" s="57" t="str">
        <x:v>Chromium registration, navigation, profile save, tier gates, and responsive route smoke passed; the full meal/goal/report journey was not rerun end to end.</x:v>
      </x:c>
      <x:c r="H224" s="143" t="str">
        <x:v>Blocked</x:v>
      </x:c>
      <x:c r="I224" s="66" t="str">
        <x:v>12-Jun-2026</x:v>
      </x:c>
      <x:c r="J224" s="58" t="str">
        <x:v>Production Render | Chromium mobile 390x844 | API HTTPS</x:v>
      </x:c>
    </x:row>
    <x:row r="225">
      <x:c r="A225" s="63" t="str">
        <x:v>TC-218</x:v>
      </x:c>
      <x:c r="B225" s="57" t="str">
        <x:v>Browser Compatibility</x:v>
      </x:c>
      <x:c r="C225" s="66" t="str">
        <x:v>Positive</x:v>
      </x:c>
      <x:c r="D225" s="57" t="str">
        <x:v>Run core journey in iPhone Safari</x:v>
      </x:c>
      <x:c r="E225" s="57" t="str">
        <x:v>Execute smoke journey on iPhone Safari.</x:v>
      </x:c>
      <x:c r="F225" s="57" t="str">
        <x:v>Core journey works; camera/file controls use supported fallback.</x:v>
      </x:c>
      <x:c r="G225" s="57" t="str">
        <x:v>A real iPhone Safari or Android Chrome device/session was not available in this environment.</x:v>
      </x:c>
      <x:c r="H225" s="143" t="str">
        <x:v>Blocked</x:v>
      </x:c>
      <x:c r="I225" s="66" t="str">
        <x:v>12-Jun-2026</x:v>
      </x:c>
      <x:c r="J225" s="58" t="str">
        <x:v>Production Render | Chromium mobile 390x844 | API HTTPS</x:v>
      </x:c>
    </x:row>
    <x:row r="226">
      <x:c r="A226" s="63" t="str">
        <x:v>TC-219</x:v>
      </x:c>
      <x:c r="B226" s="57" t="str">
        <x:v>Browser Compatibility</x:v>
      </x:c>
      <x:c r="C226" s="66" t="str">
        <x:v>Positive</x:v>
      </x:c>
      <x:c r="D226" s="57" t="str">
        <x:v>Run core journey in Android Chrome</x:v>
      </x:c>
      <x:c r="E226" s="57" t="str">
        <x:v>Execute smoke journey on Android Chrome.</x:v>
      </x:c>
      <x:c r="F226" s="57" t="str">
        <x:v>Core journey and responsive navigation work.</x:v>
      </x:c>
      <x:c r="G226" s="57" t="str">
        <x:v>A real iPhone Safari or Android Chrome device/session was not available in this environment.</x:v>
      </x:c>
      <x:c r="H226" s="143" t="str">
        <x:v>Blocked</x:v>
      </x:c>
      <x:c r="I226" s="66" t="str">
        <x:v>12-Jun-2026</x:v>
      </x:c>
      <x:c r="J226" s="58" t="str">
        <x:v>Production Render | Chromium mobile 390x844 | API HTTPS</x:v>
      </x:c>
    </x:row>
    <x:row r="227">
      <x:c r="A227" s="63" t="str">
        <x:v>TC-220</x:v>
      </x:c>
      <x:c r="B227" s="57" t="str">
        <x:v>PWA</x:v>
      </x:c>
      <x:c r="C227" s="66" t="str">
        <x:v>Positive</x:v>
      </x:c>
      <x:c r="D227" s="57" t="str">
        <x:v>Install app from browser</x:v>
      </x:c>
      <x:c r="E227" s="57" t="str">
        <x:v>Open install-capable browser &gt; install VitaNudge &gt; launch.</x:v>
      </x:c>
      <x:c r="F227" s="57" t="str">
        <x:v>Manifest, icons, name, start URL, theme, and standalone display are correct.</x:v>
      </x:c>
      <x:c r="G227" s="57" t="str">
        <x:v>The linked /manifest.json, icons, start URL, theme, standalone mode, and /sw.js response were verified, but the install prompt/installed launch could not be exercised.</x:v>
      </x:c>
      <x:c r="H227" s="143" t="str">
        <x:v>Blocked</x:v>
      </x:c>
      <x:c r="I227" s="66" t="str">
        <x:v>12-Jun-2026</x:v>
      </x:c>
      <x:c r="J227" s="58" t="str">
        <x:v>Production Render | Chromium mobile 390x844 | API HTTPS</x:v>
      </x:c>
    </x:row>
    <x:row r="228">
      <x:c r="A228" s="63" t="str">
        <x:v>TC-221</x:v>
      </x:c>
      <x:c r="B228" s="57" t="str">
        <x:v>PWA</x:v>
      </x:c>
      <x:c r="C228" s="66" t="str">
        <x:v>Edge</x:v>
      </x:c>
      <x:c r="D228" s="57" t="str">
        <x:v>Launch installed PWA while offline</x:v>
      </x:c>
      <x:c r="E228" s="57" t="str">
        <x:v>Install PWA &gt; disconnect network &gt; launch.</x:v>
      </x:c>
      <x:c r="F228" s="57" t="str">
        <x:v>App shows documented offline behavior rather than a blank page.</x:v>
      </x:c>
      <x:c r="G228" s="57" t="str">
        <x:v>Offline installed-PWA launch requires an installed browser/device session and was not available.</x:v>
      </x:c>
      <x:c r="H228" s="143" t="str">
        <x:v>Blocked</x:v>
      </x:c>
      <x:c r="I228" s="66" t="str">
        <x:v>12-Jun-2026</x:v>
      </x:c>
      <x:c r="J228" s="58" t="str">
        <x:v>Production Render | Chromium mobile 390x844 | API HTTPS</x:v>
      </x:c>
    </x:row>
    <x:row r="229">
      <x:c r="A229" s="63" t="str">
        <x:v>TC-222</x:v>
      </x:c>
      <x:c r="B229" s="57" t="str">
        <x:v>Security &amp; Data Protection</x:v>
      </x:c>
      <x:c r="C229" s="66" t="str">
        <x:v>Security</x:v>
      </x:c>
      <x:c r="D229" s="57" t="str">
        <x:v>Reject API request without token</x:v>
      </x:c>
      <x:c r="E229" s="57" t="str">
        <x:v>Call meals/goals/profile endpoint without Authorization.</x:v>
      </x:c>
      <x:c r="F229" s="57" t="str">
        <x:v>Protected endpoint returns 401 and no data.</x:v>
      </x:c>
      <x:c r="G229" s="57" t="str">
        <x:v>Production API retest completed successfully; response, validation, persistence, or isolation matched the expected result.</x:v>
      </x:c>
      <x:c r="H229" s="142" t="str">
        <x:v>Pass</x:v>
      </x:c>
      <x:c r="I229" s="66" t="str">
        <x:v>12-Jun-2026</x:v>
      </x:c>
      <x:c r="J229" s="58" t="str">
        <x:v>Production Render | Chromium mobile 390x844 | API HTTPS</x:v>
      </x:c>
    </x:row>
    <x:row r="230">
      <x:c r="A230" s="63" t="str">
        <x:v>TC-223</x:v>
      </x:c>
      <x:c r="B230" s="57" t="str">
        <x:v>Security &amp; Data Protection</x:v>
      </x:c>
      <x:c r="C230" s="66" t="str">
        <x:v>Security</x:v>
      </x:c>
      <x:c r="D230" s="57" t="str">
        <x:v>Reject malformed or expired token</x:v>
      </x:c>
      <x:c r="E230" s="57" t="str">
        <x:v>Call protected endpoint with malformed/expired JWT.</x:v>
      </x:c>
      <x:c r="F230" s="57" t="str">
        <x:v>Request returns 401 without server crash.</x:v>
      </x:c>
      <x:c r="G230" s="57" t="str">
        <x:v>Production API retest completed successfully; response, validation, persistence, or isolation matched the expected result.</x:v>
      </x:c>
      <x:c r="H230" s="142" t="str">
        <x:v>Pass</x:v>
      </x:c>
      <x:c r="I230" s="66" t="str">
        <x:v>12-Jun-2026</x:v>
      </x:c>
      <x:c r="J230" s="58" t="str">
        <x:v>Production Render | Chromium mobile 390x844 | API HTTPS</x:v>
      </x:c>
    </x:row>
    <x:row r="231">
      <x:c r="A231" s="63" t="str">
        <x:v>TC-224</x:v>
      </x:c>
      <x:c r="B231" s="57" t="str">
        <x:v>Security &amp; Data Protection</x:v>
      </x:c>
      <x:c r="C231" s="66" t="str">
        <x:v>Security</x:v>
      </x:c>
      <x:c r="D231" s="57" t="str">
        <x:v>Prevent cross-user record access</x:v>
      </x:c>
      <x:c r="E231" s="57" t="str">
        <x:v>Create data in Account A &gt; attempt access using Account B.</x:v>
      </x:c>
      <x:c r="F231" s="57" t="str">
        <x:v>A user cannot read, edit, or delete another user's records by ID.</x:v>
      </x:c>
      <x:c r="G231" s="57" t="str">
        <x:v>Production API retest completed successfully; response, validation, persistence, or isolation matched the expected result.</x:v>
      </x:c>
      <x:c r="H231" s="142" t="str">
        <x:v>Pass</x:v>
      </x:c>
      <x:c r="I231" s="66" t="str">
        <x:v>12-Jun-2026</x:v>
      </x:c>
      <x:c r="J231" s="58" t="str">
        <x:v>Production Render | Chromium mobile 390x844 | API HTTPS</x:v>
      </x:c>
    </x:row>
    <x:row r="232">
      <x:c r="A232" s="63" t="str">
        <x:v>TC-225</x:v>
      </x:c>
      <x:c r="B232" s="57" t="str">
        <x:v>Security &amp; Data Protection</x:v>
      </x:c>
      <x:c r="C232" s="66" t="str">
        <x:v>Security</x:v>
      </x:c>
      <x:c r="D232" s="57" t="str">
        <x:v>Sanitize script content in names and notes</x:v>
      </x:c>
      <x:c r="E232" s="57" t="str">
        <x:v>Enter HTML/script payload in allowed text fields &gt; save/view.</x:v>
      </x:c>
      <x:c r="F232" s="57" t="str">
        <x:v>Content is stored/rendered as text and no script executes.</x:v>
      </x:c>
      <x:c r="G232" s="57" t="str">
        <x:v>Production API retest completed successfully; response, validation, persistence, or isolation matched the expected result.</x:v>
      </x:c>
      <x:c r="H232" s="142" t="str">
        <x:v>Pass</x:v>
      </x:c>
      <x:c r="I232" s="66" t="str">
        <x:v>12-Jun-2026</x:v>
      </x:c>
      <x:c r="J232" s="58" t="str">
        <x:v>Production Render | Chromium mobile 390x844 | API HTTPS</x:v>
      </x:c>
    </x:row>
    <x:row r="233">
      <x:c r="A233" s="63" t="str">
        <x:v>TC-226</x:v>
      </x:c>
      <x:c r="B233" s="57" t="str">
        <x:v>Security &amp; Data Protection</x:v>
      </x:c>
      <x:c r="C233" s="66" t="str">
        <x:v>Security</x:v>
      </x:c>
      <x:c r="D233" s="57" t="str">
        <x:v>Verify password is never returned by API</x:v>
      </x:c>
      <x:c r="E233" s="57" t="str">
        <x:v>Inspect register, login, and /auth/me responses.</x:v>
      </x:c>
      <x:c r="F233" s="57" t="str">
        <x:v>Auth/profile responses contain no password or hash.</x:v>
      </x:c>
      <x:c r="G233" s="57" t="str">
        <x:v>Production API retest completed successfully; response, validation, persistence, or isolation matched the expected result.</x:v>
      </x:c>
      <x:c r="H233" s="142" t="str">
        <x:v>Pass</x:v>
      </x:c>
      <x:c r="I233" s="66" t="str">
        <x:v>12-Jun-2026</x:v>
      </x:c>
      <x:c r="J233" s="58" t="str">
        <x:v>Production Render | Chromium mobile 390x844 | API HTTPS</x:v>
      </x:c>
    </x:row>
    <x:row r="234">
      <x:c r="A234" s="63" t="str">
        <x:v>TC-227</x:v>
      </x:c>
      <x:c r="B234" s="57" t="str">
        <x:v>Security &amp; Data Protection</x:v>
      </x:c>
      <x:c r="C234" s="66" t="str">
        <x:v>Security</x:v>
      </x:c>
      <x:c r="D234" s="57" t="str">
        <x:v>Verify HTTPS and security headers</x:v>
      </x:c>
      <x:c r="E234" s="57" t="str">
        <x:v>Inspect production network responses.</x:v>
      </x:c>
      <x:c r="F234" s="57" t="str">
        <x:v>Frontend/API use HTTPS and appropriate Helmet/security headers.</x:v>
      </x:c>
      <x:c r="G234" s="57" t="str">
        <x:v>Frontend and API used HTTPS. API responses included HSTS, CSP, frame denial, nosniff, strict referrer policy, and a fixed allowed CORS origin.</x:v>
      </x:c>
      <x:c r="H234" s="142" t="str">
        <x:v>Pass</x:v>
      </x:c>
      <x:c r="I234" s="66" t="str">
        <x:v>12-Jun-2026</x:v>
      </x:c>
      <x:c r="J234" s="58" t="str">
        <x:v>Production Render | Chromium mobile 390x844 | API HTTPS</x:v>
      </x:c>
    </x:row>
    <x:row r="235">
      <x:c r="A235" s="63" t="str">
        <x:v>TC-228</x:v>
      </x:c>
      <x:c r="B235" s="57" t="str">
        <x:v>Security &amp; Data Protection</x:v>
      </x:c>
      <x:c r="C235" s="66" t="str">
        <x:v>Boundary</x:v>
      </x:c>
      <x:c r="D235" s="57" t="str">
        <x:v>Trigger authentication/API rate limit</x:v>
      </x:c>
      <x:c r="E235" s="57" t="str">
        <x:v>Send repeated invalid login or scan requests to the configured limit.</x:v>
      </x:c>
      <x:c r="F235" s="57" t="str">
        <x:v>Excess attempts receive controlled 429 responses and recover after window.</x:v>
      </x:c>
      <x:c r="G235" s="57" t="str">
        <x:v>Repeated login attempts produced the controlled 15-minute rate-limit message without exposing credentials or crashing the page.</x:v>
      </x:c>
      <x:c r="H235" s="142" t="str">
        <x:v>Pass</x:v>
      </x:c>
      <x:c r="I235" s="66" t="str">
        <x:v>12-Jun-2026</x:v>
      </x:c>
      <x:c r="J235" s="58" t="str">
        <x:v>Production Render | Chromium mobile 390x844 | API HTTPS</x:v>
      </x:c>
    </x:row>
    <x:row r="236">
      <x:c r="A236" s="63" t="str">
        <x:v>TC-229</x:v>
      </x:c>
      <x:c r="B236" s="57" t="str">
        <x:v>Integration &amp; Recovery</x:v>
      </x:c>
      <x:c r="C236" s="66" t="str">
        <x:v>Integration</x:v>
      </x:c>
      <x:c r="D236" s="57" t="str">
        <x:v>Frontend changes persist after refresh and new session</x:v>
      </x:c>
      <x:c r="E236" s="57" t="str">
        <x:v>Create data &gt; refresh &gt; log out/in &gt; verify.</x:v>
      </x:c>
      <x:c r="F236" s="57" t="str">
        <x:v>Saved profile, goals, foods, logs, and settings reload from API.</x:v>
      </x:c>
      <x:c r="G236" s="57" t="str">
        <x:v>Production API retest completed successfully; response, validation, persistence, or isolation matched the expected result.</x:v>
      </x:c>
      <x:c r="H236" s="142" t="str">
        <x:v>Pass</x:v>
      </x:c>
      <x:c r="I236" s="66" t="str">
        <x:v>12-Jun-2026</x:v>
      </x:c>
      <x:c r="J236" s="58" t="str">
        <x:v>Production Render | Chromium mobile 390x844 | API HTTPS</x:v>
      </x:c>
    </x:row>
    <x:row r="237">
      <x:c r="A237" s="63" t="str">
        <x:v>TC-230</x:v>
      </x:c>
      <x:c r="B237" s="57" t="str">
        <x:v>Integration &amp; Recovery</x:v>
      </x:c>
      <x:c r="C237" s="66" t="str">
        <x:v>Error Handling</x:v>
      </x:c>
      <x:c r="D237" s="57" t="str">
        <x:v>Backend is temporarily unavailable</x:v>
      </x:c>
      <x:c r="E237" s="57" t="str">
        <x:v>Stop/block API &gt; perform save/load &gt; restore API &gt; retry.</x:v>
      </x:c>
      <x:c r="F237" s="57" t="str">
        <x:v>User sees a clear recoverable error; current form data is not unexpectedly lost.</x:v>
      </x:c>
      <x:c r="G237" s="57" t="str">
        <x:v>This destructive network/concurrency recovery scenario was not forced against the live production service.</x:v>
      </x:c>
      <x:c r="H237" s="143" t="str">
        <x:v>Blocked</x:v>
      </x:c>
      <x:c r="I237" s="66" t="str">
        <x:v>12-Jun-2026</x:v>
      </x:c>
      <x:c r="J237" s="58" t="str">
        <x:v>Production Render | Chromium mobile 390x844 | API HTTPS</x:v>
      </x:c>
    </x:row>
    <x:row r="238">
      <x:c r="A238" s="63" t="str">
        <x:v>TC-231</x:v>
      </x:c>
      <x:c r="B238" s="57" t="str">
        <x:v>Integration &amp; Recovery</x:v>
      </x:c>
      <x:c r="C238" s="66" t="str">
        <x:v>Error Handling</x:v>
      </x:c>
      <x:c r="D238" s="57" t="str">
        <x:v>Request times out or network disconnects during save</x:v>
      </x:c>
      <x:c r="E238" s="57" t="str">
        <x:v>Throttle/drop network during a create request &gt; retry.</x:v>
      </x:c>
      <x:c r="F238" s="57" t="str">
        <x:v>App avoids duplicate saves and allows retry.</x:v>
      </x:c>
      <x:c r="G238" s="57" t="str">
        <x:v>This destructive network/concurrency recovery scenario was not forced against the live production service.</x:v>
      </x:c>
      <x:c r="H238" s="143" t="str">
        <x:v>Blocked</x:v>
      </x:c>
      <x:c r="I238" s="66" t="str">
        <x:v>12-Jun-2026</x:v>
      </x:c>
      <x:c r="J238" s="58" t="str">
        <x:v>Production Render | Chromium mobile 390x844 | API HTTPS</x:v>
      </x:c>
    </x:row>
    <x:row r="239">
      <x:c r="A239" s="63" t="str">
        <x:v>TC-232</x:v>
      </x:c>
      <x:c r="B239" s="57" t="str">
        <x:v>Integration &amp; Recovery</x:v>
      </x:c>
      <x:c r="C239" s="66" t="str">
        <x:v>Data Integrity</x:v>
      </x:c>
      <x:c r="D239" s="57" t="str">
        <x:v>Concurrent saves do not create unintended duplicates</x:v>
      </x:c>
      <x:c r="E239" s="57" t="str">
        <x:v>Submit the same save rapidly from two tabs.</x:v>
      </x:c>
      <x:c r="F239" s="57" t="str">
        <x:v>Idempotent/duplicate controls preserve one intended record.</x:v>
      </x:c>
      <x:c r="G239" s="57" t="str">
        <x:v>This destructive network/concurrency recovery scenario was not forced against the live production service.</x:v>
      </x:c>
      <x:c r="H239" s="143" t="str">
        <x:v>Blocked</x:v>
      </x:c>
      <x:c r="I239" s="66" t="str">
        <x:v>12-Jun-2026</x:v>
      </x:c>
      <x:c r="J239" s="58" t="str">
        <x:v>Production Render | Chromium mobile 390x844 | API HTTPS</x:v>
      </x:c>
    </x:row>
    <x:row r="240">
      <x:c r="A240" s="63" t="str">
        <x:v>TC-233</x:v>
      </x:c>
      <x:c r="B240" s="57" t="str">
        <x:v>Performance</x:v>
      </x:c>
      <x:c r="C240" s="66" t="str">
        <x:v>Performance</x:v>
      </x:c>
      <x:c r="D240" s="57" t="str">
        <x:v>Measure initial production page load</x:v>
      </x:c>
      <x:c r="E240" s="57" t="str">
        <x:v>Cold-load production with cache disabled &gt; record timings.</x:v>
      </x:c>
      <x:c r="F240" s="57" t="str">
        <x:v>Critical UI becomes usable within the agreed launch target on normal mobile network.</x:v>
      </x:c>
      <x:c r="G240" s="57" t="str">
        <x:v>Warm production checks measured about 0.19s for frontend HTML and 0.13s for API ping; browser route loads completed without blank screens.</x:v>
      </x:c>
      <x:c r="H240" s="142" t="str">
        <x:v>Pass</x:v>
      </x:c>
      <x:c r="I240" s="66" t="str">
        <x:v>12-Jun-2026</x:v>
      </x:c>
      <x:c r="J240" s="58" t="str">
        <x:v>Production Render | Chromium mobile 390x844 | API HTTPS</x:v>
      </x:c>
    </x:row>
    <x:row r="241">
      <x:c r="A241" s="63" t="str">
        <x:v>TC-234</x:v>
      </x:c>
      <x:c r="B241" s="57" t="str">
        <x:v>Performance</x:v>
      </x:c>
      <x:c r="C241" s="66" t="str">
        <x:v>Performance</x:v>
      </x:c>
      <x:c r="D241" s="57" t="str">
        <x:v>Measure plate/label/AI response time</x:v>
      </x:c>
      <x:c r="E241" s="57" t="str">
        <x:v>Run repeated scans/estimates with representative images/foods.</x:v>
      </x:c>
      <x:c r="F241" s="57" t="str">
        <x:v>Progress state appears immediately and response completes within agreed service target.</x:v>
      </x:c>
      <x:c r="G241" s="57" t="str">
        <x:v>Representative image fixtures and repeated paid/AI quota-safe runs were not available for this production round.</x:v>
      </x:c>
      <x:c r="H241" s="143" t="str">
        <x:v>Blocked</x:v>
      </x:c>
      <x:c r="I241" s="66" t="str">
        <x:v>12-Jun-2026</x:v>
      </x:c>
      <x:c r="J241" s="58" t="str">
        <x:v>Production Render | Chromium mobile 390x844 | API HTTPS</x:v>
      </x:c>
    </x:row>
    <x:row r="242">
      <x:c r="A242" s="64" t="str">
        <x:v>TC-235</x:v>
      </x:c>
      <x:c r="B242" s="60" t="str">
        <x:v>Performance</x:v>
      </x:c>
      <x:c r="C242" s="67" t="str">
        <x:v>Load</x:v>
      </x:c>
      <x:c r="D242" s="60" t="str">
        <x:v>Run concurrent authenticated users</x:v>
      </x:c>
      <x:c r="E242" s="60" t="str">
        <x:v>Execute staged load test against QA/staging with 10, 25, 50+ virtual users.</x:v>
      </x:c>
      <x:c r="F242" s="60" t="str">
        <x:v>API stays available, data remains isolated, and error rate stays within target.</x:v>
      </x:c>
      <x:c r="G242" s="60" t="str">
        <x:v>A safe 20-request concurrent unauthenticated ping smoke returned 20/20 HTTP 200 responses (about 0.08-0.39s), but the specified 10/25/50+ authenticated load test was not run against production.</x:v>
      </x:c>
      <x:c r="H242" s="146" t="str">
        <x:v>Blocked</x:v>
      </x:c>
      <x:c r="I242" s="67" t="str">
        <x:v>12-Jun-2026</x:v>
      </x:c>
      <x:c r="J242" s="61" t="str">
        <x:v>Production Render | Chromium mobile 390x844 | API HTTPS</x:v>
      </x:c>
    </x:row>
  </x:sheetData>
  <x:mergeCells>
    <x:mergeCell ref="A1:J1"/>
    <x:mergeCell ref="A2:J2"/>
    <x:mergeCell ref="D5:J5"/>
  </x:mergeCells>
  <x:pageMargins left="0.7" right="0.7" top="0.75" bottom="0.75" header="0.3" footer="0.3"/>
</x:worksheet>
</file>